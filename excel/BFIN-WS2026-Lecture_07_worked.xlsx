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My Drive\GitHubProjects\Investments_BFIN_WS2026\lectures\excel\"/>
    </mc:Choice>
  </mc:AlternateContent>
  <xr:revisionPtr revIDLastSave="0" documentId="13_ncr:1_{FEB189D6-19DA-446E-9E40-E38B96EABE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0 Start" sheetId="1" r:id="rId1"/>
    <sheet name="01 Factor Examples" sheetId="2" r:id="rId2"/>
    <sheet name="02 APT Solver" sheetId="3" r:id="rId3"/>
    <sheet name="03 Hedge Solver" sheetId="4" r:id="rId4"/>
    <sheet name="04 Prices" sheetId="5" r:id="rId5"/>
    <sheet name="05 Factors" sheetId="6" r:id="rId6"/>
    <sheet name="06 Returns" sheetId="7" r:id="rId7"/>
    <sheet name="07 Excess" sheetId="8" r:id="rId8"/>
    <sheet name="08 CAPM" sheetId="9" r:id="rId9"/>
    <sheet name="09 FF3" sheetId="10" r:id="rId10"/>
    <sheet name="10 Carhart4" sheetId="11" r:id="rId11"/>
    <sheet name="11 FF5" sheetId="12" r:id="rId12"/>
    <sheet name="12 Model Comparison" sheetId="13" r:id="rId13"/>
    <sheet name="13 Factor Cov" sheetId="14" r:id="rId14"/>
    <sheet name="14 FF3 Cov" sheetId="15" r:id="rId15"/>
    <sheet name="15 FF3 Solver" sheetId="16" r:id="rId16"/>
    <sheet name="16 Exposure Solver" sheetId="17" r:id="rId17"/>
    <sheet name="17 Mimic Solver" sheetId="18" r:id="rId18"/>
  </sheets>
  <definedNames>
    <definedName name="_xlnm._FilterDatabase" localSheetId="4" hidden="1">'04 Prices'!$A$7:$L$128</definedName>
    <definedName name="_xlnm._FilterDatabase" localSheetId="5" hidden="1">'05 Factors'!$A$7:$K$127</definedName>
    <definedName name="_xlnm.Print_Area" localSheetId="0">'00 Start'!$A$1:$K$41</definedName>
    <definedName name="_xlnm.Print_Area" localSheetId="1">'01 Factor Examples'!$A$1:$K$39</definedName>
    <definedName name="_xlnm.Print_Area" localSheetId="2">'02 APT Solver'!$A$1:$K$31</definedName>
    <definedName name="_xlnm.Print_Area" localSheetId="3">'03 Hedge Solver'!$A$1:$K$31</definedName>
    <definedName name="_xlnm.Print_Area" localSheetId="4">'04 Prices'!$A$1:$L$128</definedName>
    <definedName name="_xlnm.Print_Area" localSheetId="5">'05 Factors'!$A$1:$K$127</definedName>
    <definedName name="_xlnm.Print_Area" localSheetId="6">'06 Returns'!$A$1:$L$133</definedName>
    <definedName name="_xlnm.Print_Area" localSheetId="7">'07 Excess'!$A$1:$L$133</definedName>
    <definedName name="_xlnm.Print_Area" localSheetId="8">'08 CAPM'!$A$1:$K$28</definedName>
    <definedName name="_xlnm.Print_Area" localSheetId="9">'09 FF3'!$A$1:$K$28</definedName>
    <definedName name="_xlnm.Print_Area" localSheetId="10">'10 Carhart4'!$A$1:$K$28</definedName>
    <definedName name="_xlnm.Print_Area" localSheetId="11">'11 FF5'!$A$1:$K$28</definedName>
    <definedName name="_xlnm.Print_Area" localSheetId="12">'12 Model Comparison'!$A$1:$K$26</definedName>
    <definedName name="_xlnm.Print_Area" localSheetId="13">'13 Factor Cov'!$A$1:$K$16</definedName>
    <definedName name="_xlnm.Print_Area" localSheetId="14">'14 FF3 Cov'!$A$1:$K$27</definedName>
    <definedName name="_xlnm.Print_Area" localSheetId="15">'15 FF3 Solver'!$A$1:$K$43</definedName>
    <definedName name="_xlnm.Print_Area" localSheetId="16">'16 Exposure Solver'!$A$1:$K$49</definedName>
    <definedName name="_xlnm.Print_Area" localSheetId="17">'17 Mimic Solver'!$A$1:$K$50</definedName>
    <definedName name="_xlnm.Print_Titles" localSheetId="4">'04 Prices'!$1:$7</definedName>
    <definedName name="_xlnm.Print_Titles" localSheetId="5">'05 Factors'!$1:$7</definedName>
    <definedName name="_xlnm.Print_Titles" localSheetId="6">'06 Returns'!$1:$7</definedName>
    <definedName name="_xlnm.Print_Titles" localSheetId="7">'07 Excess'!$1:$7</definedName>
    <definedName name="solver_adj" localSheetId="2" hidden="1">'02 APT Solver'!$B$10:$D$10</definedName>
    <definedName name="solver_adj" localSheetId="3" hidden="1">'03 Hedge Solver'!$C$10:$D$10</definedName>
    <definedName name="solver_adj" localSheetId="15" hidden="1">'15 FF3 Solver'!$B$9:$K$9</definedName>
    <definedName name="solver_adj" localSheetId="16" hidden="1">'16 Exposure Solver'!$B$9:$K$9</definedName>
    <definedName name="solver_adj" localSheetId="17" hidden="1">'17 Mimic Solver'!$B$9:$K$9</definedName>
    <definedName name="solver_cvg" localSheetId="2" hidden="1">0.0000000001</definedName>
    <definedName name="solver_cvg" localSheetId="3" hidden="1">0.0000000001</definedName>
    <definedName name="solver_cvg" localSheetId="15" hidden="1">0.0000000001</definedName>
    <definedName name="solver_cvg" localSheetId="16" hidden="1">0.0000000001</definedName>
    <definedName name="solver_cvg" localSheetId="17" hidden="1">0.0000000001</definedName>
    <definedName name="solver_drv" localSheetId="2" hidden="1">2</definedName>
    <definedName name="solver_drv" localSheetId="3" hidden="1">2</definedName>
    <definedName name="solver_drv" localSheetId="15" hidden="1">2</definedName>
    <definedName name="solver_drv" localSheetId="16" hidden="1">2</definedName>
    <definedName name="solver_drv" localSheetId="17" hidden="1">2</definedName>
    <definedName name="solver_eng" localSheetId="2" hidden="1">2</definedName>
    <definedName name="solver_eng" localSheetId="3" hidden="1">2</definedName>
    <definedName name="solver_eng" localSheetId="15" hidden="1">1</definedName>
    <definedName name="solver_eng" localSheetId="16" hidden="1">1</definedName>
    <definedName name="solver_eng" localSheetId="17" hidden="1">1</definedName>
    <definedName name="solver_est" localSheetId="2" hidden="1">1</definedName>
    <definedName name="solver_est" localSheetId="3" hidden="1">1</definedName>
    <definedName name="solver_est" localSheetId="15" hidden="1">1</definedName>
    <definedName name="solver_est" localSheetId="16" hidden="1">1</definedName>
    <definedName name="solver_est" localSheetId="17" hidden="1">1</definedName>
    <definedName name="solver_itr" localSheetId="2" hidden="1">2000</definedName>
    <definedName name="solver_itr" localSheetId="3" hidden="1">2000</definedName>
    <definedName name="solver_itr" localSheetId="15" hidden="1">2000</definedName>
    <definedName name="solver_itr" localSheetId="16" hidden="1">2000</definedName>
    <definedName name="solver_itr" localSheetId="17" hidden="1">2000</definedName>
    <definedName name="solver_lhs1" localSheetId="2" hidden="1">'02 APT Solver'!$B$14</definedName>
    <definedName name="solver_lhs1" localSheetId="3" hidden="1">'03 Hedge Solver'!$B$14</definedName>
    <definedName name="solver_lhs1" localSheetId="15" hidden="1">'15 FF3 Solver'!$B$15</definedName>
    <definedName name="solver_lhs1" localSheetId="16" hidden="1">'16 Exposure Solver'!$B$15</definedName>
    <definedName name="solver_lhs1" localSheetId="17" hidden="1">'17 Mimic Solver'!$B$9:$K$9</definedName>
    <definedName name="solver_lhs2" localSheetId="2" hidden="1">'02 APT Solver'!$B$15</definedName>
    <definedName name="solver_lhs2" localSheetId="3" hidden="1">'03 Hedge Solver'!$B$15</definedName>
    <definedName name="solver_lhs2" localSheetId="15" hidden="1">'15 FF3 Solver'!$B$9:$K$9</definedName>
    <definedName name="solver_lhs2" localSheetId="16" hidden="1">'16 Exposure Solver'!$B$9:$K$9</definedName>
    <definedName name="solver_lhs2" localSheetId="17" hidden="1">'17 Mimic Solver'!$B$9:$K$9</definedName>
    <definedName name="solver_lhs3" localSheetId="2" hidden="1">'02 APT Solver'!$B$10</definedName>
    <definedName name="solver_lhs3" localSheetId="3" hidden="1">'03 Hedge Solver'!$C$10</definedName>
    <definedName name="solver_lhs3" localSheetId="15" hidden="1">'15 FF3 Solver'!$B$9:$K$9</definedName>
    <definedName name="solver_lhs3" localSheetId="16" hidden="1">'16 Exposure Solver'!$B$9:$K$9</definedName>
    <definedName name="solver_lhs3" localSheetId="17" hidden="1">'17 Mimic Solver'!$B$25</definedName>
    <definedName name="solver_lhs4" localSheetId="3" hidden="1">'03 Hedge Solver'!$D$10</definedName>
    <definedName name="solver_lhs4" localSheetId="16" hidden="1">'16 Exposure Solver'!$B$25</definedName>
    <definedName name="solver_lhs4" localSheetId="17" hidden="1">'17 Mimic Solver'!$B$26</definedName>
    <definedName name="solver_lhs5" localSheetId="16" hidden="1">'16 Exposure Solver'!$B$26</definedName>
    <definedName name="solver_lhs5" localSheetId="17" hidden="1">'17 Mimic Solver'!$B$27</definedName>
    <definedName name="solver_lhs6" localSheetId="16" hidden="1">'16 Exposure Solver'!$B$27</definedName>
    <definedName name="solver_lin" localSheetId="2" hidden="1">2</definedName>
    <definedName name="solver_lin" localSheetId="3" hidden="1">2</definedName>
    <definedName name="solver_lin" localSheetId="15" hidden="1">2</definedName>
    <definedName name="solver_lin" localSheetId="16" hidden="1">2</definedName>
    <definedName name="solver_lin" localSheetId="17" hidden="1">2</definedName>
    <definedName name="solver_neg" localSheetId="2" hidden="1">2</definedName>
    <definedName name="solver_neg" localSheetId="3" hidden="1">2</definedName>
    <definedName name="solver_neg" localSheetId="15" hidden="1">2</definedName>
    <definedName name="solver_neg" localSheetId="16" hidden="1">2</definedName>
    <definedName name="solver_neg" localSheetId="17" hidden="1">2</definedName>
    <definedName name="solver_num" localSheetId="2" hidden="1">3</definedName>
    <definedName name="solver_num" localSheetId="3" hidden="1">4</definedName>
    <definedName name="solver_num" localSheetId="15" hidden="1">3</definedName>
    <definedName name="solver_num" localSheetId="16" hidden="1">6</definedName>
    <definedName name="solver_num" localSheetId="17" hidden="1">5</definedName>
    <definedName name="solver_nwt" localSheetId="2" hidden="1">1</definedName>
    <definedName name="solver_nwt" localSheetId="3" hidden="1">1</definedName>
    <definedName name="solver_nwt" localSheetId="15" hidden="1">1</definedName>
    <definedName name="solver_nwt" localSheetId="16" hidden="1">1</definedName>
    <definedName name="solver_nwt" localSheetId="17" hidden="1">1</definedName>
    <definedName name="solver_opt" localSheetId="2" hidden="1">'02 APT Solver'!$B$18</definedName>
    <definedName name="solver_opt" localSheetId="3" hidden="1">'03 Hedge Solver'!$B$18</definedName>
    <definedName name="solver_opt" localSheetId="15" hidden="1">'15 FF3 Solver'!$B$19</definedName>
    <definedName name="solver_opt" localSheetId="16" hidden="1">'16 Exposure Solver'!$B$34</definedName>
    <definedName name="solver_opt" localSheetId="17" hidden="1">'17 Mimic Solver'!$B$34</definedName>
    <definedName name="solver_pre" localSheetId="2" hidden="1">0.000000001</definedName>
    <definedName name="solver_pre" localSheetId="3" hidden="1">0.000000001</definedName>
    <definedName name="solver_pre" localSheetId="15" hidden="1">0.000000001</definedName>
    <definedName name="solver_pre" localSheetId="16" hidden="1">0.000000001</definedName>
    <definedName name="solver_pre" localSheetId="17" hidden="1">0.000000001</definedName>
    <definedName name="solver_rel1" localSheetId="2" hidden="1">2</definedName>
    <definedName name="solver_rel1" localSheetId="3" hidden="1">2</definedName>
    <definedName name="solver_rel1" localSheetId="15" hidden="1">2</definedName>
    <definedName name="solver_rel1" localSheetId="16" hidden="1">2</definedName>
    <definedName name="solver_rel1" localSheetId="17" hidden="1">3</definedName>
    <definedName name="solver_rel2" localSheetId="2" hidden="1">2</definedName>
    <definedName name="solver_rel2" localSheetId="3" hidden="1">2</definedName>
    <definedName name="solver_rel2" localSheetId="15" hidden="1">3</definedName>
    <definedName name="solver_rel2" localSheetId="16" hidden="1">3</definedName>
    <definedName name="solver_rel2" localSheetId="17" hidden="1">1</definedName>
    <definedName name="solver_rel3" localSheetId="2" hidden="1">2</definedName>
    <definedName name="solver_rel3" localSheetId="3" hidden="1">3</definedName>
    <definedName name="solver_rel3" localSheetId="15" hidden="1">1</definedName>
    <definedName name="solver_rel3" localSheetId="16" hidden="1">1</definedName>
    <definedName name="solver_rel3" localSheetId="17" hidden="1">2</definedName>
    <definedName name="solver_rel4" localSheetId="3" hidden="1">1</definedName>
    <definedName name="solver_rel4" localSheetId="16" hidden="1">2</definedName>
    <definedName name="solver_rel4" localSheetId="17" hidden="1">2</definedName>
    <definedName name="solver_rel5" localSheetId="16" hidden="1">2</definedName>
    <definedName name="solver_rel5" localSheetId="17" hidden="1">2</definedName>
    <definedName name="solver_rel6" localSheetId="16" hidden="1">2</definedName>
    <definedName name="solver_rhs1" localSheetId="2" hidden="1">0</definedName>
    <definedName name="solver_rhs1" localSheetId="3" hidden="1">100</definedName>
    <definedName name="solver_rhs1" localSheetId="15" hidden="1">1</definedName>
    <definedName name="solver_rhs1" localSheetId="16" hidden="1">1</definedName>
    <definedName name="solver_rhs1" localSheetId="17" hidden="1">-2</definedName>
    <definedName name="solver_rhs2" localSheetId="2" hidden="1">0</definedName>
    <definedName name="solver_rhs2" localSheetId="3" hidden="1">0</definedName>
    <definedName name="solver_rhs2" localSheetId="15" hidden="1">0</definedName>
    <definedName name="solver_rhs2" localSheetId="16" hidden="1">-0.5</definedName>
    <definedName name="solver_rhs2" localSheetId="17" hidden="1">2</definedName>
    <definedName name="solver_rhs3" localSheetId="2" hidden="1">-100</definedName>
    <definedName name="solver_rhs3" localSheetId="3" hidden="1">0</definedName>
    <definedName name="solver_rhs3" localSheetId="15" hidden="1">1</definedName>
    <definedName name="solver_rhs3" localSheetId="16" hidden="1">0.5</definedName>
    <definedName name="solver_rhs3" localSheetId="17" hidden="1">'17 Mimic Solver'!C25</definedName>
    <definedName name="solver_rhs4" localSheetId="3" hidden="1">0</definedName>
    <definedName name="solver_rhs4" localSheetId="16" hidden="1">'16 Exposure Solver'!C25</definedName>
    <definedName name="solver_rhs4" localSheetId="17" hidden="1">'17 Mimic Solver'!C26</definedName>
    <definedName name="solver_rhs5" localSheetId="16" hidden="1">'16 Exposure Solver'!C26</definedName>
    <definedName name="solver_rhs5" localSheetId="17" hidden="1">'17 Mimic Solver'!C27</definedName>
    <definedName name="solver_rhs6" localSheetId="16" hidden="1">'16 Exposure Solver'!C27</definedName>
    <definedName name="solver_scl" localSheetId="2" hidden="1">1</definedName>
    <definedName name="solver_scl" localSheetId="3" hidden="1">1</definedName>
    <definedName name="solver_scl" localSheetId="15" hidden="1">1</definedName>
    <definedName name="solver_scl" localSheetId="16" hidden="1">1</definedName>
    <definedName name="solver_scl" localSheetId="17" hidden="1">1</definedName>
    <definedName name="solver_sho" localSheetId="2" hidden="1">2</definedName>
    <definedName name="solver_sho" localSheetId="3" hidden="1">2</definedName>
    <definedName name="solver_sho" localSheetId="15" hidden="1">2</definedName>
    <definedName name="solver_sho" localSheetId="16" hidden="1">2</definedName>
    <definedName name="solver_sho" localSheetId="17" hidden="1">2</definedName>
    <definedName name="solver_tim" localSheetId="2" hidden="1">100</definedName>
    <definedName name="solver_tim" localSheetId="3" hidden="1">100</definedName>
    <definedName name="solver_tim" localSheetId="15" hidden="1">100</definedName>
    <definedName name="solver_tim" localSheetId="16" hidden="1">100</definedName>
    <definedName name="solver_tim" localSheetId="17" hidden="1">100</definedName>
    <definedName name="solver_tol" localSheetId="2" hidden="1">0.01</definedName>
    <definedName name="solver_tol" localSheetId="3" hidden="1">0.01</definedName>
    <definedName name="solver_tol" localSheetId="15" hidden="1">0.01</definedName>
    <definedName name="solver_tol" localSheetId="16" hidden="1">0.01</definedName>
    <definedName name="solver_tol" localSheetId="17" hidden="1">0.01</definedName>
    <definedName name="solver_typ" localSheetId="2" hidden="1">1</definedName>
    <definedName name="solver_typ" localSheetId="3" hidden="1">2</definedName>
    <definedName name="solver_typ" localSheetId="15" hidden="1">1</definedName>
    <definedName name="solver_typ" localSheetId="16" hidden="1">2</definedName>
    <definedName name="solver_typ" localSheetId="17" hidden="1">2</definedName>
    <definedName name="solver_val" localSheetId="2" hidden="1">0</definedName>
    <definedName name="solver_val" localSheetId="3" hidden="1">0</definedName>
    <definedName name="solver_val" localSheetId="15" hidden="1">0</definedName>
    <definedName name="solver_val" localSheetId="16" hidden="1">0</definedName>
    <definedName name="solver_val" localSheetId="17" hidden="1">0</definedName>
    <definedName name="solver_ver" localSheetId="2" hidden="1">3</definedName>
    <definedName name="solver_ver" localSheetId="3" hidden="1">3</definedName>
    <definedName name="solver_ver" localSheetId="15" hidden="1">3</definedName>
    <definedName name="solver_ver" localSheetId="16" hidden="1">3</definedName>
    <definedName name="solver_ver" localSheetId="17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8" l="1"/>
  <c r="B15" i="18"/>
  <c r="B22" i="18" s="1"/>
  <c r="B16" i="17"/>
  <c r="B15" i="17"/>
  <c r="B22" i="17" s="1"/>
  <c r="B16" i="16"/>
  <c r="B15" i="16"/>
  <c r="B22" i="16" s="1"/>
  <c r="D10" i="14"/>
  <c r="C10" i="14"/>
  <c r="B10" i="14"/>
  <c r="D9" i="14"/>
  <c r="C9" i="14"/>
  <c r="B9" i="14"/>
  <c r="D8" i="14"/>
  <c r="C8" i="14"/>
  <c r="B8" i="14"/>
  <c r="I125" i="8"/>
  <c r="H125" i="8"/>
  <c r="G125" i="8"/>
  <c r="F125" i="8"/>
  <c r="E125" i="8"/>
  <c r="D125" i="8"/>
  <c r="C125" i="8"/>
  <c r="B125" i="8"/>
  <c r="A125" i="8"/>
  <c r="L124" i="8"/>
  <c r="K124" i="8"/>
  <c r="J124" i="8"/>
  <c r="I124" i="8"/>
  <c r="H124" i="8"/>
  <c r="G124" i="8"/>
  <c r="F124" i="8"/>
  <c r="E124" i="8"/>
  <c r="D124" i="8"/>
  <c r="C124" i="8"/>
  <c r="B124" i="8"/>
  <c r="A124" i="8"/>
  <c r="L123" i="8"/>
  <c r="K123" i="8"/>
  <c r="J123" i="8"/>
  <c r="I123" i="8"/>
  <c r="H123" i="8"/>
  <c r="G123" i="8"/>
  <c r="F123" i="8"/>
  <c r="E123" i="8"/>
  <c r="D123" i="8"/>
  <c r="C123" i="8"/>
  <c r="B123" i="8"/>
  <c r="A123" i="8"/>
  <c r="L122" i="8"/>
  <c r="K122" i="8"/>
  <c r="J122" i="8"/>
  <c r="I122" i="8"/>
  <c r="H122" i="8"/>
  <c r="G122" i="8"/>
  <c r="F122" i="8"/>
  <c r="E122" i="8"/>
  <c r="D122" i="8"/>
  <c r="C122" i="8"/>
  <c r="B122" i="8"/>
  <c r="A122" i="8"/>
  <c r="L121" i="8"/>
  <c r="K121" i="8"/>
  <c r="J121" i="8"/>
  <c r="I121" i="8"/>
  <c r="H121" i="8"/>
  <c r="G121" i="8"/>
  <c r="F121" i="8"/>
  <c r="E121" i="8"/>
  <c r="D121" i="8"/>
  <c r="C121" i="8"/>
  <c r="B121" i="8"/>
  <c r="A121" i="8"/>
  <c r="L120" i="8"/>
  <c r="K120" i="8"/>
  <c r="J120" i="8"/>
  <c r="I120" i="8"/>
  <c r="H120" i="8"/>
  <c r="G120" i="8"/>
  <c r="F120" i="8"/>
  <c r="E120" i="8"/>
  <c r="D120" i="8"/>
  <c r="C120" i="8"/>
  <c r="B120" i="8"/>
  <c r="A120" i="8"/>
  <c r="L119" i="8"/>
  <c r="K119" i="8"/>
  <c r="J119" i="8"/>
  <c r="I119" i="8"/>
  <c r="H119" i="8"/>
  <c r="G119" i="8"/>
  <c r="F119" i="8"/>
  <c r="E119" i="8"/>
  <c r="D119" i="8"/>
  <c r="C119" i="8"/>
  <c r="B119" i="8"/>
  <c r="A119" i="8"/>
  <c r="L118" i="8"/>
  <c r="K118" i="8"/>
  <c r="J118" i="8"/>
  <c r="I118" i="8"/>
  <c r="H118" i="8"/>
  <c r="G118" i="8"/>
  <c r="F118" i="8"/>
  <c r="E118" i="8"/>
  <c r="D118" i="8"/>
  <c r="C118" i="8"/>
  <c r="B118" i="8"/>
  <c r="A118" i="8"/>
  <c r="L117" i="8"/>
  <c r="K117" i="8"/>
  <c r="J117" i="8"/>
  <c r="I117" i="8"/>
  <c r="H117" i="8"/>
  <c r="G117" i="8"/>
  <c r="F117" i="8"/>
  <c r="E117" i="8"/>
  <c r="D117" i="8"/>
  <c r="C117" i="8"/>
  <c r="B117" i="8"/>
  <c r="A117" i="8"/>
  <c r="L116" i="8"/>
  <c r="K116" i="8"/>
  <c r="J116" i="8"/>
  <c r="I116" i="8"/>
  <c r="H116" i="8"/>
  <c r="G116" i="8"/>
  <c r="F116" i="8"/>
  <c r="E116" i="8"/>
  <c r="D116" i="8"/>
  <c r="C116" i="8"/>
  <c r="B116" i="8"/>
  <c r="A116" i="8"/>
  <c r="L115" i="8"/>
  <c r="K115" i="8"/>
  <c r="J115" i="8"/>
  <c r="I115" i="8"/>
  <c r="H115" i="8"/>
  <c r="G115" i="8"/>
  <c r="F115" i="8"/>
  <c r="E115" i="8"/>
  <c r="D115" i="8"/>
  <c r="C115" i="8"/>
  <c r="B115" i="8"/>
  <c r="A115" i="8"/>
  <c r="L114" i="8"/>
  <c r="K114" i="8"/>
  <c r="J114" i="8"/>
  <c r="I114" i="8"/>
  <c r="H114" i="8"/>
  <c r="G114" i="8"/>
  <c r="F114" i="8"/>
  <c r="E114" i="8"/>
  <c r="D114" i="8"/>
  <c r="C114" i="8"/>
  <c r="B114" i="8"/>
  <c r="A114" i="8"/>
  <c r="L113" i="8"/>
  <c r="K113" i="8"/>
  <c r="J113" i="8"/>
  <c r="I113" i="8"/>
  <c r="H113" i="8"/>
  <c r="G113" i="8"/>
  <c r="F113" i="8"/>
  <c r="E113" i="8"/>
  <c r="D113" i="8"/>
  <c r="C113" i="8"/>
  <c r="B113" i="8"/>
  <c r="A113" i="8"/>
  <c r="L112" i="8"/>
  <c r="K112" i="8"/>
  <c r="J112" i="8"/>
  <c r="I112" i="8"/>
  <c r="H112" i="8"/>
  <c r="G112" i="8"/>
  <c r="F112" i="8"/>
  <c r="E112" i="8"/>
  <c r="D112" i="8"/>
  <c r="C112" i="8"/>
  <c r="B112" i="8"/>
  <c r="A112" i="8"/>
  <c r="L111" i="8"/>
  <c r="K111" i="8"/>
  <c r="J111" i="8"/>
  <c r="I111" i="8"/>
  <c r="H111" i="8"/>
  <c r="L127" i="7"/>
  <c r="L127" i="8" s="1"/>
  <c r="K127" i="7"/>
  <c r="K127" i="8" s="1"/>
  <c r="J127" i="7"/>
  <c r="J127" i="8" s="1"/>
  <c r="I127" i="7"/>
  <c r="I127" i="8" s="1"/>
  <c r="H127" i="7"/>
  <c r="H127" i="8" s="1"/>
  <c r="G127" i="7"/>
  <c r="G127" i="8" s="1"/>
  <c r="F127" i="7"/>
  <c r="F127" i="8" s="1"/>
  <c r="E127" i="7"/>
  <c r="E127" i="8" s="1"/>
  <c r="D127" i="7"/>
  <c r="D127" i="8" s="1"/>
  <c r="C127" i="7"/>
  <c r="C127" i="8" s="1"/>
  <c r="B127" i="7"/>
  <c r="B127" i="8" s="1"/>
  <c r="A127" i="7"/>
  <c r="A127" i="8" s="1"/>
  <c r="L126" i="7"/>
  <c r="L126" i="8" s="1"/>
  <c r="K126" i="7"/>
  <c r="K126" i="8" s="1"/>
  <c r="J126" i="7"/>
  <c r="J126" i="8" s="1"/>
  <c r="I126" i="7"/>
  <c r="I126" i="8" s="1"/>
  <c r="H126" i="7"/>
  <c r="H126" i="8" s="1"/>
  <c r="G126" i="7"/>
  <c r="G126" i="8" s="1"/>
  <c r="F126" i="7"/>
  <c r="F126" i="8" s="1"/>
  <c r="E126" i="7"/>
  <c r="E126" i="8" s="1"/>
  <c r="D126" i="7"/>
  <c r="D126" i="8" s="1"/>
  <c r="C126" i="7"/>
  <c r="C126" i="8" s="1"/>
  <c r="B126" i="7"/>
  <c r="B126" i="8" s="1"/>
  <c r="A126" i="7"/>
  <c r="A126" i="8" s="1"/>
  <c r="L125" i="7"/>
  <c r="L125" i="8" s="1"/>
  <c r="K125" i="7"/>
  <c r="K125" i="8" s="1"/>
  <c r="J125" i="7"/>
  <c r="J125" i="8" s="1"/>
  <c r="I125" i="7"/>
  <c r="H125" i="7"/>
  <c r="G125" i="7"/>
  <c r="F125" i="7"/>
  <c r="E125" i="7"/>
  <c r="D125" i="7"/>
  <c r="C125" i="7"/>
  <c r="B125" i="7"/>
  <c r="A125" i="7"/>
  <c r="L124" i="7"/>
  <c r="K124" i="7"/>
  <c r="J124" i="7"/>
  <c r="I124" i="7"/>
  <c r="H124" i="7"/>
  <c r="G124" i="7"/>
  <c r="F124" i="7"/>
  <c r="E124" i="7"/>
  <c r="D124" i="7"/>
  <c r="C124" i="7"/>
  <c r="B124" i="7"/>
  <c r="A124" i="7"/>
  <c r="L123" i="7"/>
  <c r="K123" i="7"/>
  <c r="J123" i="7"/>
  <c r="I123" i="7"/>
  <c r="H123" i="7"/>
  <c r="G123" i="7"/>
  <c r="F123" i="7"/>
  <c r="E123" i="7"/>
  <c r="D123" i="7"/>
  <c r="C123" i="7"/>
  <c r="B123" i="7"/>
  <c r="A123" i="7"/>
  <c r="L122" i="7"/>
  <c r="K122" i="7"/>
  <c r="J122" i="7"/>
  <c r="I122" i="7"/>
  <c r="H122" i="7"/>
  <c r="G122" i="7"/>
  <c r="F122" i="7"/>
  <c r="E122" i="7"/>
  <c r="D122" i="7"/>
  <c r="C122" i="7"/>
  <c r="B122" i="7"/>
  <c r="A122" i="7"/>
  <c r="L121" i="7"/>
  <c r="K121" i="7"/>
  <c r="J121" i="7"/>
  <c r="I121" i="7"/>
  <c r="H121" i="7"/>
  <c r="G121" i="7"/>
  <c r="F121" i="7"/>
  <c r="E121" i="7"/>
  <c r="D121" i="7"/>
  <c r="C121" i="7"/>
  <c r="B121" i="7"/>
  <c r="A121" i="7"/>
  <c r="L120" i="7"/>
  <c r="K120" i="7"/>
  <c r="J120" i="7"/>
  <c r="I120" i="7"/>
  <c r="H120" i="7"/>
  <c r="G120" i="7"/>
  <c r="F120" i="7"/>
  <c r="E120" i="7"/>
  <c r="D120" i="7"/>
  <c r="C120" i="7"/>
  <c r="B120" i="7"/>
  <c r="A120" i="7"/>
  <c r="L119" i="7"/>
  <c r="K119" i="7"/>
  <c r="J119" i="7"/>
  <c r="I119" i="7"/>
  <c r="H119" i="7"/>
  <c r="G119" i="7"/>
  <c r="F119" i="7"/>
  <c r="E119" i="7"/>
  <c r="D119" i="7"/>
  <c r="C119" i="7"/>
  <c r="B119" i="7"/>
  <c r="A119" i="7"/>
  <c r="L118" i="7"/>
  <c r="K118" i="7"/>
  <c r="J118" i="7"/>
  <c r="I118" i="7"/>
  <c r="H118" i="7"/>
  <c r="G118" i="7"/>
  <c r="F118" i="7"/>
  <c r="E118" i="7"/>
  <c r="D118" i="7"/>
  <c r="C118" i="7"/>
  <c r="B118" i="7"/>
  <c r="A118" i="7"/>
  <c r="L117" i="7"/>
  <c r="K117" i="7"/>
  <c r="J117" i="7"/>
  <c r="I117" i="7"/>
  <c r="H117" i="7"/>
  <c r="G117" i="7"/>
  <c r="F117" i="7"/>
  <c r="E117" i="7"/>
  <c r="D117" i="7"/>
  <c r="C117" i="7"/>
  <c r="B117" i="7"/>
  <c r="A117" i="7"/>
  <c r="L116" i="7"/>
  <c r="K116" i="7"/>
  <c r="J116" i="7"/>
  <c r="I116" i="7"/>
  <c r="H116" i="7"/>
  <c r="G116" i="7"/>
  <c r="F116" i="7"/>
  <c r="E116" i="7"/>
  <c r="D116" i="7"/>
  <c r="C116" i="7"/>
  <c r="B116" i="7"/>
  <c r="A116" i="7"/>
  <c r="L115" i="7"/>
  <c r="K115" i="7"/>
  <c r="J115" i="7"/>
  <c r="I115" i="7"/>
  <c r="H115" i="7"/>
  <c r="G115" i="7"/>
  <c r="F115" i="7"/>
  <c r="E115" i="7"/>
  <c r="D115" i="7"/>
  <c r="C115" i="7"/>
  <c r="B115" i="7"/>
  <c r="A115" i="7"/>
  <c r="L114" i="7"/>
  <c r="K114" i="7"/>
  <c r="J114" i="7"/>
  <c r="I114" i="7"/>
  <c r="H114" i="7"/>
  <c r="G114" i="7"/>
  <c r="F114" i="7"/>
  <c r="E114" i="7"/>
  <c r="D114" i="7"/>
  <c r="C114" i="7"/>
  <c r="B114" i="7"/>
  <c r="A114" i="7"/>
  <c r="L113" i="7"/>
  <c r="K113" i="7"/>
  <c r="J113" i="7"/>
  <c r="I113" i="7"/>
  <c r="H113" i="7"/>
  <c r="G113" i="7"/>
  <c r="F113" i="7"/>
  <c r="E113" i="7"/>
  <c r="D113" i="7"/>
  <c r="C113" i="7"/>
  <c r="B113" i="7"/>
  <c r="A113" i="7"/>
  <c r="L112" i="7"/>
  <c r="K112" i="7"/>
  <c r="J112" i="7"/>
  <c r="I112" i="7"/>
  <c r="H112" i="7"/>
  <c r="G112" i="7"/>
  <c r="F112" i="7"/>
  <c r="E112" i="7"/>
  <c r="D112" i="7"/>
  <c r="C112" i="7"/>
  <c r="B112" i="7"/>
  <c r="A112" i="7"/>
  <c r="L111" i="7"/>
  <c r="K111" i="7"/>
  <c r="J111" i="7"/>
  <c r="I111" i="7"/>
  <c r="H111" i="7"/>
  <c r="G111" i="7"/>
  <c r="G111" i="8" s="1"/>
  <c r="F111" i="7"/>
  <c r="F111" i="8" s="1"/>
  <c r="E111" i="7"/>
  <c r="E111" i="8" s="1"/>
  <c r="D111" i="7"/>
  <c r="D111" i="8" s="1"/>
  <c r="C111" i="7"/>
  <c r="C111" i="8" s="1"/>
  <c r="B111" i="7"/>
  <c r="B111" i="8" s="1"/>
  <c r="A111" i="7"/>
  <c r="A111" i="8" s="1"/>
  <c r="L110" i="7"/>
  <c r="L110" i="8" s="1"/>
  <c r="K110" i="7"/>
  <c r="K110" i="8" s="1"/>
  <c r="J110" i="7"/>
  <c r="J110" i="8" s="1"/>
  <c r="I110" i="7"/>
  <c r="I110" i="8" s="1"/>
  <c r="H110" i="7"/>
  <c r="H110" i="8" s="1"/>
  <c r="G110" i="7"/>
  <c r="G110" i="8" s="1"/>
  <c r="F110" i="7"/>
  <c r="F110" i="8" s="1"/>
  <c r="E110" i="7"/>
  <c r="E110" i="8" s="1"/>
  <c r="D110" i="7"/>
  <c r="D110" i="8" s="1"/>
  <c r="C110" i="7"/>
  <c r="C110" i="8" s="1"/>
  <c r="B110" i="7"/>
  <c r="B110" i="8" s="1"/>
  <c r="A110" i="7"/>
  <c r="A110" i="8" s="1"/>
  <c r="L109" i="7"/>
  <c r="L109" i="8" s="1"/>
  <c r="K109" i="7"/>
  <c r="K109" i="8" s="1"/>
  <c r="J109" i="7"/>
  <c r="J109" i="8" s="1"/>
  <c r="I109" i="7"/>
  <c r="I109" i="8" s="1"/>
  <c r="H109" i="7"/>
  <c r="H109" i="8" s="1"/>
  <c r="G109" i="7"/>
  <c r="G109" i="8" s="1"/>
  <c r="F109" i="7"/>
  <c r="F109" i="8" s="1"/>
  <c r="E109" i="7"/>
  <c r="E109" i="8" s="1"/>
  <c r="D109" i="7"/>
  <c r="D109" i="8" s="1"/>
  <c r="C109" i="7"/>
  <c r="C109" i="8" s="1"/>
  <c r="B109" i="7"/>
  <c r="B109" i="8" s="1"/>
  <c r="A109" i="7"/>
  <c r="A109" i="8" s="1"/>
  <c r="L108" i="7"/>
  <c r="L108" i="8" s="1"/>
  <c r="K108" i="7"/>
  <c r="K108" i="8" s="1"/>
  <c r="J108" i="7"/>
  <c r="J108" i="8" s="1"/>
  <c r="I108" i="7"/>
  <c r="I108" i="8" s="1"/>
  <c r="H108" i="7"/>
  <c r="H108" i="8" s="1"/>
  <c r="G108" i="7"/>
  <c r="G108" i="8" s="1"/>
  <c r="F108" i="7"/>
  <c r="F108" i="8" s="1"/>
  <c r="E108" i="7"/>
  <c r="E108" i="8" s="1"/>
  <c r="D108" i="7"/>
  <c r="D108" i="8" s="1"/>
  <c r="C108" i="7"/>
  <c r="C108" i="8" s="1"/>
  <c r="B108" i="7"/>
  <c r="B108" i="8" s="1"/>
  <c r="A108" i="7"/>
  <c r="A108" i="8" s="1"/>
  <c r="L107" i="7"/>
  <c r="L107" i="8" s="1"/>
  <c r="K107" i="7"/>
  <c r="K107" i="8" s="1"/>
  <c r="J107" i="7"/>
  <c r="J107" i="8" s="1"/>
  <c r="I107" i="7"/>
  <c r="I107" i="8" s="1"/>
  <c r="H107" i="7"/>
  <c r="H107" i="8" s="1"/>
  <c r="G107" i="7"/>
  <c r="G107" i="8" s="1"/>
  <c r="F107" i="7"/>
  <c r="F107" i="8" s="1"/>
  <c r="E107" i="7"/>
  <c r="E107" i="8" s="1"/>
  <c r="D107" i="7"/>
  <c r="D107" i="8" s="1"/>
  <c r="C107" i="7"/>
  <c r="C107" i="8" s="1"/>
  <c r="B107" i="7"/>
  <c r="B107" i="8" s="1"/>
  <c r="A107" i="7"/>
  <c r="A107" i="8" s="1"/>
  <c r="L106" i="7"/>
  <c r="L106" i="8" s="1"/>
  <c r="K106" i="7"/>
  <c r="K106" i="8" s="1"/>
  <c r="J106" i="7"/>
  <c r="J106" i="8" s="1"/>
  <c r="I106" i="7"/>
  <c r="I106" i="8" s="1"/>
  <c r="H106" i="7"/>
  <c r="H106" i="8" s="1"/>
  <c r="G106" i="7"/>
  <c r="G106" i="8" s="1"/>
  <c r="F106" i="7"/>
  <c r="F106" i="8" s="1"/>
  <c r="E106" i="7"/>
  <c r="E106" i="8" s="1"/>
  <c r="D106" i="7"/>
  <c r="D106" i="8" s="1"/>
  <c r="C106" i="7"/>
  <c r="C106" i="8" s="1"/>
  <c r="B106" i="7"/>
  <c r="B106" i="8" s="1"/>
  <c r="A106" i="7"/>
  <c r="A106" i="8" s="1"/>
  <c r="L105" i="7"/>
  <c r="L105" i="8" s="1"/>
  <c r="K105" i="7"/>
  <c r="K105" i="8" s="1"/>
  <c r="J105" i="7"/>
  <c r="J105" i="8" s="1"/>
  <c r="I105" i="7"/>
  <c r="I105" i="8" s="1"/>
  <c r="H105" i="7"/>
  <c r="H105" i="8" s="1"/>
  <c r="G105" i="7"/>
  <c r="G105" i="8" s="1"/>
  <c r="F105" i="7"/>
  <c r="F105" i="8" s="1"/>
  <c r="E105" i="7"/>
  <c r="E105" i="8" s="1"/>
  <c r="D105" i="7"/>
  <c r="D105" i="8" s="1"/>
  <c r="C105" i="7"/>
  <c r="C105" i="8" s="1"/>
  <c r="B105" i="7"/>
  <c r="B105" i="8" s="1"/>
  <c r="A105" i="7"/>
  <c r="A105" i="8" s="1"/>
  <c r="L104" i="7"/>
  <c r="L104" i="8" s="1"/>
  <c r="K104" i="7"/>
  <c r="K104" i="8" s="1"/>
  <c r="J104" i="7"/>
  <c r="J104" i="8" s="1"/>
  <c r="I104" i="7"/>
  <c r="I104" i="8" s="1"/>
  <c r="H104" i="7"/>
  <c r="H104" i="8" s="1"/>
  <c r="G104" i="7"/>
  <c r="G104" i="8" s="1"/>
  <c r="F104" i="7"/>
  <c r="F104" i="8" s="1"/>
  <c r="E104" i="7"/>
  <c r="E104" i="8" s="1"/>
  <c r="D104" i="7"/>
  <c r="D104" i="8" s="1"/>
  <c r="C104" i="7"/>
  <c r="C104" i="8" s="1"/>
  <c r="B104" i="7"/>
  <c r="B104" i="8" s="1"/>
  <c r="A104" i="7"/>
  <c r="A104" i="8" s="1"/>
  <c r="L103" i="7"/>
  <c r="L103" i="8" s="1"/>
  <c r="K103" i="7"/>
  <c r="K103" i="8" s="1"/>
  <c r="J103" i="7"/>
  <c r="J103" i="8" s="1"/>
  <c r="I103" i="7"/>
  <c r="I103" i="8" s="1"/>
  <c r="H103" i="7"/>
  <c r="H103" i="8" s="1"/>
  <c r="G103" i="7"/>
  <c r="G103" i="8" s="1"/>
  <c r="F103" i="7"/>
  <c r="F103" i="8" s="1"/>
  <c r="E103" i="7"/>
  <c r="E103" i="8" s="1"/>
  <c r="D103" i="7"/>
  <c r="D103" i="8" s="1"/>
  <c r="C103" i="7"/>
  <c r="C103" i="8" s="1"/>
  <c r="B103" i="7"/>
  <c r="B103" i="8" s="1"/>
  <c r="A103" i="7"/>
  <c r="A103" i="8" s="1"/>
  <c r="L102" i="7"/>
  <c r="L102" i="8" s="1"/>
  <c r="K102" i="7"/>
  <c r="K102" i="8" s="1"/>
  <c r="J102" i="7"/>
  <c r="J102" i="8" s="1"/>
  <c r="I102" i="7"/>
  <c r="I102" i="8" s="1"/>
  <c r="H102" i="7"/>
  <c r="H102" i="8" s="1"/>
  <c r="G102" i="7"/>
  <c r="G102" i="8" s="1"/>
  <c r="F102" i="7"/>
  <c r="F102" i="8" s="1"/>
  <c r="E102" i="7"/>
  <c r="E102" i="8" s="1"/>
  <c r="D102" i="7"/>
  <c r="D102" i="8" s="1"/>
  <c r="C102" i="7"/>
  <c r="C102" i="8" s="1"/>
  <c r="B102" i="7"/>
  <c r="B102" i="8" s="1"/>
  <c r="A102" i="7"/>
  <c r="A102" i="8" s="1"/>
  <c r="L101" i="7"/>
  <c r="L101" i="8" s="1"/>
  <c r="K101" i="7"/>
  <c r="K101" i="8" s="1"/>
  <c r="J101" i="7"/>
  <c r="J101" i="8" s="1"/>
  <c r="I101" i="7"/>
  <c r="I101" i="8" s="1"/>
  <c r="H101" i="7"/>
  <c r="H101" i="8" s="1"/>
  <c r="G101" i="7"/>
  <c r="G101" i="8" s="1"/>
  <c r="F101" i="7"/>
  <c r="F101" i="8" s="1"/>
  <c r="E101" i="7"/>
  <c r="E101" i="8" s="1"/>
  <c r="D101" i="7"/>
  <c r="D101" i="8" s="1"/>
  <c r="C101" i="7"/>
  <c r="C101" i="8" s="1"/>
  <c r="B101" i="7"/>
  <c r="B101" i="8" s="1"/>
  <c r="A101" i="7"/>
  <c r="A101" i="8" s="1"/>
  <c r="L100" i="7"/>
  <c r="L100" i="8" s="1"/>
  <c r="K100" i="7"/>
  <c r="K100" i="8" s="1"/>
  <c r="J100" i="7"/>
  <c r="J100" i="8" s="1"/>
  <c r="I100" i="7"/>
  <c r="I100" i="8" s="1"/>
  <c r="H100" i="7"/>
  <c r="H100" i="8" s="1"/>
  <c r="G100" i="7"/>
  <c r="G100" i="8" s="1"/>
  <c r="F100" i="7"/>
  <c r="F100" i="8" s="1"/>
  <c r="E100" i="7"/>
  <c r="E100" i="8" s="1"/>
  <c r="D100" i="7"/>
  <c r="D100" i="8" s="1"/>
  <c r="C100" i="7"/>
  <c r="C100" i="8" s="1"/>
  <c r="B100" i="7"/>
  <c r="B100" i="8" s="1"/>
  <c r="A100" i="7"/>
  <c r="A100" i="8" s="1"/>
  <c r="L99" i="7"/>
  <c r="L99" i="8" s="1"/>
  <c r="K99" i="7"/>
  <c r="K99" i="8" s="1"/>
  <c r="J99" i="7"/>
  <c r="J99" i="8" s="1"/>
  <c r="I99" i="7"/>
  <c r="I99" i="8" s="1"/>
  <c r="H99" i="7"/>
  <c r="H99" i="8" s="1"/>
  <c r="G99" i="7"/>
  <c r="G99" i="8" s="1"/>
  <c r="F99" i="7"/>
  <c r="F99" i="8" s="1"/>
  <c r="E99" i="7"/>
  <c r="E99" i="8" s="1"/>
  <c r="D99" i="7"/>
  <c r="D99" i="8" s="1"/>
  <c r="C99" i="7"/>
  <c r="C99" i="8" s="1"/>
  <c r="B99" i="7"/>
  <c r="B99" i="8" s="1"/>
  <c r="A99" i="7"/>
  <c r="A99" i="8" s="1"/>
  <c r="L98" i="7"/>
  <c r="L98" i="8" s="1"/>
  <c r="K98" i="7"/>
  <c r="K98" i="8" s="1"/>
  <c r="J98" i="7"/>
  <c r="J98" i="8" s="1"/>
  <c r="I98" i="7"/>
  <c r="I98" i="8" s="1"/>
  <c r="H98" i="7"/>
  <c r="H98" i="8" s="1"/>
  <c r="G98" i="7"/>
  <c r="G98" i="8" s="1"/>
  <c r="F98" i="7"/>
  <c r="F98" i="8" s="1"/>
  <c r="E98" i="7"/>
  <c r="E98" i="8" s="1"/>
  <c r="D98" i="7"/>
  <c r="D98" i="8" s="1"/>
  <c r="C98" i="7"/>
  <c r="C98" i="8" s="1"/>
  <c r="B98" i="7"/>
  <c r="B98" i="8" s="1"/>
  <c r="A98" i="7"/>
  <c r="A98" i="8" s="1"/>
  <c r="L97" i="7"/>
  <c r="L97" i="8" s="1"/>
  <c r="K97" i="7"/>
  <c r="K97" i="8" s="1"/>
  <c r="J97" i="7"/>
  <c r="J97" i="8" s="1"/>
  <c r="I97" i="7"/>
  <c r="I97" i="8" s="1"/>
  <c r="H97" i="7"/>
  <c r="H97" i="8" s="1"/>
  <c r="G97" i="7"/>
  <c r="G97" i="8" s="1"/>
  <c r="F97" i="7"/>
  <c r="F97" i="8" s="1"/>
  <c r="E97" i="7"/>
  <c r="E97" i="8" s="1"/>
  <c r="D97" i="7"/>
  <c r="D97" i="8" s="1"/>
  <c r="C97" i="7"/>
  <c r="C97" i="8" s="1"/>
  <c r="B97" i="7"/>
  <c r="B97" i="8" s="1"/>
  <c r="A97" i="7"/>
  <c r="A97" i="8" s="1"/>
  <c r="L96" i="7"/>
  <c r="L96" i="8" s="1"/>
  <c r="K96" i="7"/>
  <c r="K96" i="8" s="1"/>
  <c r="J96" i="7"/>
  <c r="J96" i="8" s="1"/>
  <c r="I96" i="7"/>
  <c r="I96" i="8" s="1"/>
  <c r="H96" i="7"/>
  <c r="H96" i="8" s="1"/>
  <c r="G96" i="7"/>
  <c r="G96" i="8" s="1"/>
  <c r="F96" i="7"/>
  <c r="F96" i="8" s="1"/>
  <c r="E96" i="7"/>
  <c r="E96" i="8" s="1"/>
  <c r="D96" i="7"/>
  <c r="D96" i="8" s="1"/>
  <c r="C96" i="7"/>
  <c r="C96" i="8" s="1"/>
  <c r="B96" i="7"/>
  <c r="B96" i="8" s="1"/>
  <c r="A96" i="7"/>
  <c r="A96" i="8" s="1"/>
  <c r="L95" i="7"/>
  <c r="L95" i="8" s="1"/>
  <c r="K95" i="7"/>
  <c r="K95" i="8" s="1"/>
  <c r="J95" i="7"/>
  <c r="J95" i="8" s="1"/>
  <c r="I95" i="7"/>
  <c r="I95" i="8" s="1"/>
  <c r="H95" i="7"/>
  <c r="H95" i="8" s="1"/>
  <c r="G95" i="7"/>
  <c r="G95" i="8" s="1"/>
  <c r="F95" i="7"/>
  <c r="F95" i="8" s="1"/>
  <c r="E95" i="7"/>
  <c r="E95" i="8" s="1"/>
  <c r="D95" i="7"/>
  <c r="D95" i="8" s="1"/>
  <c r="C95" i="7"/>
  <c r="C95" i="8" s="1"/>
  <c r="B95" i="7"/>
  <c r="B95" i="8" s="1"/>
  <c r="A95" i="7"/>
  <c r="A95" i="8" s="1"/>
  <c r="L94" i="7"/>
  <c r="L94" i="8" s="1"/>
  <c r="K94" i="7"/>
  <c r="K94" i="8" s="1"/>
  <c r="J94" i="7"/>
  <c r="J94" i="8" s="1"/>
  <c r="I94" i="7"/>
  <c r="I94" i="8" s="1"/>
  <c r="H94" i="7"/>
  <c r="H94" i="8" s="1"/>
  <c r="G94" i="7"/>
  <c r="G94" i="8" s="1"/>
  <c r="F94" i="7"/>
  <c r="F94" i="8" s="1"/>
  <c r="E94" i="7"/>
  <c r="E94" i="8" s="1"/>
  <c r="D94" i="7"/>
  <c r="D94" i="8" s="1"/>
  <c r="C94" i="7"/>
  <c r="C94" i="8" s="1"/>
  <c r="B94" i="7"/>
  <c r="B94" i="8" s="1"/>
  <c r="A94" i="7"/>
  <c r="A94" i="8" s="1"/>
  <c r="L93" i="7"/>
  <c r="L93" i="8" s="1"/>
  <c r="K93" i="7"/>
  <c r="K93" i="8" s="1"/>
  <c r="J93" i="7"/>
  <c r="J93" i="8" s="1"/>
  <c r="I93" i="7"/>
  <c r="I93" i="8" s="1"/>
  <c r="H93" i="7"/>
  <c r="H93" i="8" s="1"/>
  <c r="G93" i="7"/>
  <c r="G93" i="8" s="1"/>
  <c r="F93" i="7"/>
  <c r="F93" i="8" s="1"/>
  <c r="E93" i="7"/>
  <c r="E93" i="8" s="1"/>
  <c r="D93" i="7"/>
  <c r="D93" i="8" s="1"/>
  <c r="C93" i="7"/>
  <c r="C93" i="8" s="1"/>
  <c r="B93" i="7"/>
  <c r="B93" i="8" s="1"/>
  <c r="A93" i="7"/>
  <c r="A93" i="8" s="1"/>
  <c r="L92" i="7"/>
  <c r="L92" i="8" s="1"/>
  <c r="K92" i="7"/>
  <c r="K92" i="8" s="1"/>
  <c r="J92" i="7"/>
  <c r="J92" i="8" s="1"/>
  <c r="I92" i="7"/>
  <c r="I92" i="8" s="1"/>
  <c r="H92" i="7"/>
  <c r="H92" i="8" s="1"/>
  <c r="G92" i="7"/>
  <c r="G92" i="8" s="1"/>
  <c r="F92" i="7"/>
  <c r="F92" i="8" s="1"/>
  <c r="E92" i="7"/>
  <c r="E92" i="8" s="1"/>
  <c r="D92" i="7"/>
  <c r="D92" i="8" s="1"/>
  <c r="C92" i="7"/>
  <c r="C92" i="8" s="1"/>
  <c r="B92" i="7"/>
  <c r="B92" i="8" s="1"/>
  <c r="A92" i="7"/>
  <c r="A92" i="8" s="1"/>
  <c r="L91" i="7"/>
  <c r="L91" i="8" s="1"/>
  <c r="K91" i="7"/>
  <c r="K91" i="8" s="1"/>
  <c r="J91" i="7"/>
  <c r="J91" i="8" s="1"/>
  <c r="I91" i="7"/>
  <c r="I91" i="8" s="1"/>
  <c r="H91" i="7"/>
  <c r="H91" i="8" s="1"/>
  <c r="G91" i="7"/>
  <c r="G91" i="8" s="1"/>
  <c r="F91" i="7"/>
  <c r="F91" i="8" s="1"/>
  <c r="E91" i="7"/>
  <c r="E91" i="8" s="1"/>
  <c r="D91" i="7"/>
  <c r="D91" i="8" s="1"/>
  <c r="C91" i="7"/>
  <c r="C91" i="8" s="1"/>
  <c r="B91" i="7"/>
  <c r="B91" i="8" s="1"/>
  <c r="A91" i="7"/>
  <c r="A91" i="8" s="1"/>
  <c r="L90" i="7"/>
  <c r="L90" i="8" s="1"/>
  <c r="K90" i="7"/>
  <c r="K90" i="8" s="1"/>
  <c r="J90" i="7"/>
  <c r="J90" i="8" s="1"/>
  <c r="I90" i="7"/>
  <c r="I90" i="8" s="1"/>
  <c r="H90" i="7"/>
  <c r="H90" i="8" s="1"/>
  <c r="G90" i="7"/>
  <c r="G90" i="8" s="1"/>
  <c r="F90" i="7"/>
  <c r="F90" i="8" s="1"/>
  <c r="E90" i="7"/>
  <c r="E90" i="8" s="1"/>
  <c r="D90" i="7"/>
  <c r="D90" i="8" s="1"/>
  <c r="C90" i="7"/>
  <c r="C90" i="8" s="1"/>
  <c r="B90" i="7"/>
  <c r="B90" i="8" s="1"/>
  <c r="A90" i="7"/>
  <c r="A90" i="8" s="1"/>
  <c r="L89" i="7"/>
  <c r="L89" i="8" s="1"/>
  <c r="K89" i="7"/>
  <c r="K89" i="8" s="1"/>
  <c r="J89" i="7"/>
  <c r="J89" i="8" s="1"/>
  <c r="I89" i="7"/>
  <c r="I89" i="8" s="1"/>
  <c r="H89" i="7"/>
  <c r="H89" i="8" s="1"/>
  <c r="G89" i="7"/>
  <c r="G89" i="8" s="1"/>
  <c r="F89" i="7"/>
  <c r="F89" i="8" s="1"/>
  <c r="E89" i="7"/>
  <c r="E89" i="8" s="1"/>
  <c r="D89" i="7"/>
  <c r="D89" i="8" s="1"/>
  <c r="C89" i="7"/>
  <c r="C89" i="8" s="1"/>
  <c r="B89" i="7"/>
  <c r="B89" i="8" s="1"/>
  <c r="A89" i="7"/>
  <c r="A89" i="8" s="1"/>
  <c r="L88" i="7"/>
  <c r="L88" i="8" s="1"/>
  <c r="K88" i="7"/>
  <c r="K88" i="8" s="1"/>
  <c r="J88" i="7"/>
  <c r="J88" i="8" s="1"/>
  <c r="I88" i="7"/>
  <c r="I88" i="8" s="1"/>
  <c r="H88" i="7"/>
  <c r="H88" i="8" s="1"/>
  <c r="G88" i="7"/>
  <c r="G88" i="8" s="1"/>
  <c r="F88" i="7"/>
  <c r="F88" i="8" s="1"/>
  <c r="E88" i="7"/>
  <c r="E88" i="8" s="1"/>
  <c r="D88" i="7"/>
  <c r="D88" i="8" s="1"/>
  <c r="C88" i="7"/>
  <c r="C88" i="8" s="1"/>
  <c r="B88" i="7"/>
  <c r="B88" i="8" s="1"/>
  <c r="A88" i="7"/>
  <c r="A88" i="8" s="1"/>
  <c r="L87" i="7"/>
  <c r="L87" i="8" s="1"/>
  <c r="K87" i="7"/>
  <c r="K87" i="8" s="1"/>
  <c r="J87" i="7"/>
  <c r="J87" i="8" s="1"/>
  <c r="I87" i="7"/>
  <c r="I87" i="8" s="1"/>
  <c r="H87" i="7"/>
  <c r="H87" i="8" s="1"/>
  <c r="G87" i="7"/>
  <c r="G87" i="8" s="1"/>
  <c r="F87" i="7"/>
  <c r="F87" i="8" s="1"/>
  <c r="E87" i="7"/>
  <c r="E87" i="8" s="1"/>
  <c r="D87" i="7"/>
  <c r="D87" i="8" s="1"/>
  <c r="C87" i="7"/>
  <c r="C87" i="8" s="1"/>
  <c r="B87" i="7"/>
  <c r="B87" i="8" s="1"/>
  <c r="A87" i="7"/>
  <c r="A87" i="8" s="1"/>
  <c r="L86" i="7"/>
  <c r="L86" i="8" s="1"/>
  <c r="K86" i="7"/>
  <c r="K86" i="8" s="1"/>
  <c r="J86" i="7"/>
  <c r="J86" i="8" s="1"/>
  <c r="I86" i="7"/>
  <c r="I86" i="8" s="1"/>
  <c r="H86" i="7"/>
  <c r="H86" i="8" s="1"/>
  <c r="G86" i="7"/>
  <c r="G86" i="8" s="1"/>
  <c r="F86" i="7"/>
  <c r="F86" i="8" s="1"/>
  <c r="E86" i="7"/>
  <c r="E86" i="8" s="1"/>
  <c r="D86" i="7"/>
  <c r="D86" i="8" s="1"/>
  <c r="C86" i="7"/>
  <c r="C86" i="8" s="1"/>
  <c r="B86" i="7"/>
  <c r="B86" i="8" s="1"/>
  <c r="A86" i="7"/>
  <c r="A86" i="8" s="1"/>
  <c r="L85" i="7"/>
  <c r="L85" i="8" s="1"/>
  <c r="K85" i="7"/>
  <c r="K85" i="8" s="1"/>
  <c r="J85" i="7"/>
  <c r="J85" i="8" s="1"/>
  <c r="I85" i="7"/>
  <c r="I85" i="8" s="1"/>
  <c r="H85" i="7"/>
  <c r="H85" i="8" s="1"/>
  <c r="G85" i="7"/>
  <c r="G85" i="8" s="1"/>
  <c r="F85" i="7"/>
  <c r="F85" i="8" s="1"/>
  <c r="E85" i="7"/>
  <c r="E85" i="8" s="1"/>
  <c r="D85" i="7"/>
  <c r="D85" i="8" s="1"/>
  <c r="C85" i="7"/>
  <c r="C85" i="8" s="1"/>
  <c r="B85" i="7"/>
  <c r="B85" i="8" s="1"/>
  <c r="A85" i="7"/>
  <c r="A85" i="8" s="1"/>
  <c r="L84" i="7"/>
  <c r="L84" i="8" s="1"/>
  <c r="K84" i="7"/>
  <c r="K84" i="8" s="1"/>
  <c r="J84" i="7"/>
  <c r="J84" i="8" s="1"/>
  <c r="I84" i="7"/>
  <c r="I84" i="8" s="1"/>
  <c r="H84" i="7"/>
  <c r="H84" i="8" s="1"/>
  <c r="G84" i="7"/>
  <c r="G84" i="8" s="1"/>
  <c r="F84" i="7"/>
  <c r="F84" i="8" s="1"/>
  <c r="E84" i="7"/>
  <c r="E84" i="8" s="1"/>
  <c r="D84" i="7"/>
  <c r="D84" i="8" s="1"/>
  <c r="C84" i="7"/>
  <c r="C84" i="8" s="1"/>
  <c r="B84" i="7"/>
  <c r="B84" i="8" s="1"/>
  <c r="A84" i="7"/>
  <c r="A84" i="8" s="1"/>
  <c r="L83" i="7"/>
  <c r="L83" i="8" s="1"/>
  <c r="K83" i="7"/>
  <c r="K83" i="8" s="1"/>
  <c r="J83" i="7"/>
  <c r="J83" i="8" s="1"/>
  <c r="I83" i="7"/>
  <c r="I83" i="8" s="1"/>
  <c r="H83" i="7"/>
  <c r="H83" i="8" s="1"/>
  <c r="G83" i="7"/>
  <c r="G83" i="8" s="1"/>
  <c r="F83" i="7"/>
  <c r="F83" i="8" s="1"/>
  <c r="E83" i="7"/>
  <c r="E83" i="8" s="1"/>
  <c r="D83" i="7"/>
  <c r="D83" i="8" s="1"/>
  <c r="C83" i="7"/>
  <c r="C83" i="8" s="1"/>
  <c r="B83" i="7"/>
  <c r="B83" i="8" s="1"/>
  <c r="A83" i="7"/>
  <c r="A83" i="8" s="1"/>
  <c r="L82" i="7"/>
  <c r="L82" i="8" s="1"/>
  <c r="K82" i="7"/>
  <c r="K82" i="8" s="1"/>
  <c r="J82" i="7"/>
  <c r="J82" i="8" s="1"/>
  <c r="I82" i="7"/>
  <c r="I82" i="8" s="1"/>
  <c r="H82" i="7"/>
  <c r="H82" i="8" s="1"/>
  <c r="G82" i="7"/>
  <c r="G82" i="8" s="1"/>
  <c r="F82" i="7"/>
  <c r="F82" i="8" s="1"/>
  <c r="E82" i="7"/>
  <c r="E82" i="8" s="1"/>
  <c r="D82" i="7"/>
  <c r="D82" i="8" s="1"/>
  <c r="C82" i="7"/>
  <c r="C82" i="8" s="1"/>
  <c r="B82" i="7"/>
  <c r="B82" i="8" s="1"/>
  <c r="A82" i="7"/>
  <c r="A82" i="8" s="1"/>
  <c r="L81" i="7"/>
  <c r="L81" i="8" s="1"/>
  <c r="K81" i="7"/>
  <c r="K81" i="8" s="1"/>
  <c r="J81" i="7"/>
  <c r="J81" i="8" s="1"/>
  <c r="I81" i="7"/>
  <c r="I81" i="8" s="1"/>
  <c r="H81" i="7"/>
  <c r="H81" i="8" s="1"/>
  <c r="G81" i="7"/>
  <c r="G81" i="8" s="1"/>
  <c r="F81" i="7"/>
  <c r="F81" i="8" s="1"/>
  <c r="E81" i="7"/>
  <c r="E81" i="8" s="1"/>
  <c r="D81" i="7"/>
  <c r="D81" i="8" s="1"/>
  <c r="C81" i="7"/>
  <c r="C81" i="8" s="1"/>
  <c r="B81" i="7"/>
  <c r="B81" i="8" s="1"/>
  <c r="A81" i="7"/>
  <c r="A81" i="8" s="1"/>
  <c r="L80" i="7"/>
  <c r="L80" i="8" s="1"/>
  <c r="K80" i="7"/>
  <c r="K80" i="8" s="1"/>
  <c r="J80" i="7"/>
  <c r="J80" i="8" s="1"/>
  <c r="I80" i="7"/>
  <c r="I80" i="8" s="1"/>
  <c r="H80" i="7"/>
  <c r="H80" i="8" s="1"/>
  <c r="G80" i="7"/>
  <c r="G80" i="8" s="1"/>
  <c r="F80" i="7"/>
  <c r="F80" i="8" s="1"/>
  <c r="E80" i="7"/>
  <c r="E80" i="8" s="1"/>
  <c r="D80" i="7"/>
  <c r="D80" i="8" s="1"/>
  <c r="C80" i="7"/>
  <c r="C80" i="8" s="1"/>
  <c r="B80" i="7"/>
  <c r="B80" i="8" s="1"/>
  <c r="A80" i="7"/>
  <c r="A80" i="8" s="1"/>
  <c r="L79" i="7"/>
  <c r="L79" i="8" s="1"/>
  <c r="K79" i="7"/>
  <c r="K79" i="8" s="1"/>
  <c r="J79" i="7"/>
  <c r="J79" i="8" s="1"/>
  <c r="I79" i="7"/>
  <c r="I79" i="8" s="1"/>
  <c r="H79" i="7"/>
  <c r="H79" i="8" s="1"/>
  <c r="G79" i="7"/>
  <c r="G79" i="8" s="1"/>
  <c r="F79" i="7"/>
  <c r="F79" i="8" s="1"/>
  <c r="E79" i="7"/>
  <c r="E79" i="8" s="1"/>
  <c r="D79" i="7"/>
  <c r="D79" i="8" s="1"/>
  <c r="C79" i="7"/>
  <c r="C79" i="8" s="1"/>
  <c r="B79" i="7"/>
  <c r="B79" i="8" s="1"/>
  <c r="A79" i="7"/>
  <c r="A79" i="8" s="1"/>
  <c r="L78" i="7"/>
  <c r="L78" i="8" s="1"/>
  <c r="K78" i="7"/>
  <c r="K78" i="8" s="1"/>
  <c r="J78" i="7"/>
  <c r="J78" i="8" s="1"/>
  <c r="I78" i="7"/>
  <c r="I78" i="8" s="1"/>
  <c r="H78" i="7"/>
  <c r="H78" i="8" s="1"/>
  <c r="G78" i="7"/>
  <c r="G78" i="8" s="1"/>
  <c r="F78" i="7"/>
  <c r="F78" i="8" s="1"/>
  <c r="E78" i="7"/>
  <c r="E78" i="8" s="1"/>
  <c r="D78" i="7"/>
  <c r="D78" i="8" s="1"/>
  <c r="C78" i="7"/>
  <c r="C78" i="8" s="1"/>
  <c r="B78" i="7"/>
  <c r="B78" i="8" s="1"/>
  <c r="A78" i="7"/>
  <c r="A78" i="8" s="1"/>
  <c r="L77" i="7"/>
  <c r="L77" i="8" s="1"/>
  <c r="K77" i="7"/>
  <c r="K77" i="8" s="1"/>
  <c r="J77" i="7"/>
  <c r="J77" i="8" s="1"/>
  <c r="I77" i="7"/>
  <c r="I77" i="8" s="1"/>
  <c r="H77" i="7"/>
  <c r="H77" i="8" s="1"/>
  <c r="G77" i="7"/>
  <c r="G77" i="8" s="1"/>
  <c r="F77" i="7"/>
  <c r="F77" i="8" s="1"/>
  <c r="E77" i="7"/>
  <c r="E77" i="8" s="1"/>
  <c r="D77" i="7"/>
  <c r="D77" i="8" s="1"/>
  <c r="C77" i="7"/>
  <c r="C77" i="8" s="1"/>
  <c r="B77" i="7"/>
  <c r="B77" i="8" s="1"/>
  <c r="A77" i="7"/>
  <c r="A77" i="8" s="1"/>
  <c r="L76" i="7"/>
  <c r="L76" i="8" s="1"/>
  <c r="K76" i="7"/>
  <c r="K76" i="8" s="1"/>
  <c r="J76" i="7"/>
  <c r="J76" i="8" s="1"/>
  <c r="I76" i="7"/>
  <c r="I76" i="8" s="1"/>
  <c r="H76" i="7"/>
  <c r="H76" i="8" s="1"/>
  <c r="G76" i="7"/>
  <c r="G76" i="8" s="1"/>
  <c r="F76" i="7"/>
  <c r="F76" i="8" s="1"/>
  <c r="E76" i="7"/>
  <c r="E76" i="8" s="1"/>
  <c r="D76" i="7"/>
  <c r="D76" i="8" s="1"/>
  <c r="C76" i="7"/>
  <c r="C76" i="8" s="1"/>
  <c r="B76" i="7"/>
  <c r="B76" i="8" s="1"/>
  <c r="A76" i="7"/>
  <c r="A76" i="8" s="1"/>
  <c r="L75" i="7"/>
  <c r="L75" i="8" s="1"/>
  <c r="K75" i="7"/>
  <c r="K75" i="8" s="1"/>
  <c r="J75" i="7"/>
  <c r="J75" i="8" s="1"/>
  <c r="I75" i="7"/>
  <c r="I75" i="8" s="1"/>
  <c r="H75" i="7"/>
  <c r="H75" i="8" s="1"/>
  <c r="G75" i="7"/>
  <c r="G75" i="8" s="1"/>
  <c r="F75" i="7"/>
  <c r="F75" i="8" s="1"/>
  <c r="E75" i="7"/>
  <c r="E75" i="8" s="1"/>
  <c r="D75" i="7"/>
  <c r="D75" i="8" s="1"/>
  <c r="C75" i="7"/>
  <c r="C75" i="8" s="1"/>
  <c r="B75" i="7"/>
  <c r="B75" i="8" s="1"/>
  <c r="A75" i="7"/>
  <c r="A75" i="8" s="1"/>
  <c r="L74" i="7"/>
  <c r="L74" i="8" s="1"/>
  <c r="K74" i="7"/>
  <c r="K74" i="8" s="1"/>
  <c r="J74" i="7"/>
  <c r="J74" i="8" s="1"/>
  <c r="I74" i="7"/>
  <c r="I74" i="8" s="1"/>
  <c r="H74" i="7"/>
  <c r="H74" i="8" s="1"/>
  <c r="G74" i="7"/>
  <c r="G74" i="8" s="1"/>
  <c r="F74" i="7"/>
  <c r="F74" i="8" s="1"/>
  <c r="E74" i="7"/>
  <c r="E74" i="8" s="1"/>
  <c r="D74" i="7"/>
  <c r="D74" i="8" s="1"/>
  <c r="C74" i="7"/>
  <c r="C74" i="8" s="1"/>
  <c r="B74" i="7"/>
  <c r="B74" i="8" s="1"/>
  <c r="A74" i="7"/>
  <c r="A74" i="8" s="1"/>
  <c r="L73" i="7"/>
  <c r="L73" i="8" s="1"/>
  <c r="K73" i="7"/>
  <c r="K73" i="8" s="1"/>
  <c r="J73" i="7"/>
  <c r="J73" i="8" s="1"/>
  <c r="I73" i="7"/>
  <c r="I73" i="8" s="1"/>
  <c r="H73" i="7"/>
  <c r="H73" i="8" s="1"/>
  <c r="G73" i="7"/>
  <c r="G73" i="8" s="1"/>
  <c r="F73" i="7"/>
  <c r="F73" i="8" s="1"/>
  <c r="E73" i="7"/>
  <c r="E73" i="8" s="1"/>
  <c r="D73" i="7"/>
  <c r="D73" i="8" s="1"/>
  <c r="C73" i="7"/>
  <c r="C73" i="8" s="1"/>
  <c r="B73" i="7"/>
  <c r="B73" i="8" s="1"/>
  <c r="A73" i="7"/>
  <c r="A73" i="8" s="1"/>
  <c r="L72" i="7"/>
  <c r="L72" i="8" s="1"/>
  <c r="K72" i="7"/>
  <c r="K72" i="8" s="1"/>
  <c r="J72" i="7"/>
  <c r="J72" i="8" s="1"/>
  <c r="I72" i="7"/>
  <c r="I72" i="8" s="1"/>
  <c r="H72" i="7"/>
  <c r="H72" i="8" s="1"/>
  <c r="G72" i="7"/>
  <c r="G72" i="8" s="1"/>
  <c r="F72" i="7"/>
  <c r="F72" i="8" s="1"/>
  <c r="E72" i="7"/>
  <c r="E72" i="8" s="1"/>
  <c r="D72" i="7"/>
  <c r="D72" i="8" s="1"/>
  <c r="C72" i="7"/>
  <c r="C72" i="8" s="1"/>
  <c r="B72" i="7"/>
  <c r="B72" i="8" s="1"/>
  <c r="A72" i="7"/>
  <c r="A72" i="8" s="1"/>
  <c r="L71" i="7"/>
  <c r="L71" i="8" s="1"/>
  <c r="K71" i="7"/>
  <c r="K71" i="8" s="1"/>
  <c r="J71" i="7"/>
  <c r="J71" i="8" s="1"/>
  <c r="I71" i="7"/>
  <c r="I71" i="8" s="1"/>
  <c r="H71" i="7"/>
  <c r="H71" i="8" s="1"/>
  <c r="G71" i="7"/>
  <c r="G71" i="8" s="1"/>
  <c r="F71" i="7"/>
  <c r="F71" i="8" s="1"/>
  <c r="E71" i="7"/>
  <c r="E71" i="8" s="1"/>
  <c r="D71" i="7"/>
  <c r="D71" i="8" s="1"/>
  <c r="C71" i="7"/>
  <c r="C71" i="8" s="1"/>
  <c r="B71" i="7"/>
  <c r="B71" i="8" s="1"/>
  <c r="A71" i="7"/>
  <c r="A71" i="8" s="1"/>
  <c r="L70" i="7"/>
  <c r="L70" i="8" s="1"/>
  <c r="K70" i="7"/>
  <c r="K70" i="8" s="1"/>
  <c r="J70" i="7"/>
  <c r="J70" i="8" s="1"/>
  <c r="I70" i="7"/>
  <c r="I70" i="8" s="1"/>
  <c r="H70" i="7"/>
  <c r="H70" i="8" s="1"/>
  <c r="G70" i="7"/>
  <c r="G70" i="8" s="1"/>
  <c r="F70" i="7"/>
  <c r="F70" i="8" s="1"/>
  <c r="E70" i="7"/>
  <c r="E70" i="8" s="1"/>
  <c r="D70" i="7"/>
  <c r="D70" i="8" s="1"/>
  <c r="C70" i="7"/>
  <c r="C70" i="8" s="1"/>
  <c r="B70" i="7"/>
  <c r="B70" i="8" s="1"/>
  <c r="A70" i="7"/>
  <c r="A70" i="8" s="1"/>
  <c r="L69" i="7"/>
  <c r="L69" i="8" s="1"/>
  <c r="K69" i="7"/>
  <c r="K69" i="8" s="1"/>
  <c r="J69" i="7"/>
  <c r="J69" i="8" s="1"/>
  <c r="I69" i="7"/>
  <c r="I69" i="8" s="1"/>
  <c r="H69" i="7"/>
  <c r="H69" i="8" s="1"/>
  <c r="G69" i="7"/>
  <c r="G69" i="8" s="1"/>
  <c r="F69" i="7"/>
  <c r="F69" i="8" s="1"/>
  <c r="E69" i="7"/>
  <c r="E69" i="8" s="1"/>
  <c r="D69" i="7"/>
  <c r="D69" i="8" s="1"/>
  <c r="C69" i="7"/>
  <c r="C69" i="8" s="1"/>
  <c r="B69" i="7"/>
  <c r="B69" i="8" s="1"/>
  <c r="A69" i="7"/>
  <c r="A69" i="8" s="1"/>
  <c r="L68" i="7"/>
  <c r="L68" i="8" s="1"/>
  <c r="K68" i="7"/>
  <c r="K68" i="8" s="1"/>
  <c r="J68" i="7"/>
  <c r="J68" i="8" s="1"/>
  <c r="I68" i="7"/>
  <c r="I68" i="8" s="1"/>
  <c r="H68" i="7"/>
  <c r="H68" i="8" s="1"/>
  <c r="G68" i="7"/>
  <c r="G68" i="8" s="1"/>
  <c r="F68" i="7"/>
  <c r="F68" i="8" s="1"/>
  <c r="E68" i="7"/>
  <c r="E68" i="8" s="1"/>
  <c r="D68" i="7"/>
  <c r="D68" i="8" s="1"/>
  <c r="C68" i="7"/>
  <c r="C68" i="8" s="1"/>
  <c r="B68" i="7"/>
  <c r="B68" i="8" s="1"/>
  <c r="A68" i="7"/>
  <c r="A68" i="8" s="1"/>
  <c r="L67" i="7"/>
  <c r="L67" i="8" s="1"/>
  <c r="K67" i="7"/>
  <c r="K67" i="8" s="1"/>
  <c r="J67" i="7"/>
  <c r="J67" i="8" s="1"/>
  <c r="I67" i="7"/>
  <c r="I67" i="8" s="1"/>
  <c r="H67" i="7"/>
  <c r="H67" i="8" s="1"/>
  <c r="G67" i="7"/>
  <c r="G67" i="8" s="1"/>
  <c r="F67" i="7"/>
  <c r="F67" i="8" s="1"/>
  <c r="E67" i="7"/>
  <c r="E67" i="8" s="1"/>
  <c r="D67" i="7"/>
  <c r="D67" i="8" s="1"/>
  <c r="C67" i="7"/>
  <c r="C67" i="8" s="1"/>
  <c r="B67" i="7"/>
  <c r="B67" i="8" s="1"/>
  <c r="A67" i="7"/>
  <c r="A67" i="8" s="1"/>
  <c r="L66" i="7"/>
  <c r="L66" i="8" s="1"/>
  <c r="K66" i="7"/>
  <c r="K66" i="8" s="1"/>
  <c r="J66" i="7"/>
  <c r="J66" i="8" s="1"/>
  <c r="I66" i="7"/>
  <c r="I66" i="8" s="1"/>
  <c r="H66" i="7"/>
  <c r="H66" i="8" s="1"/>
  <c r="G66" i="7"/>
  <c r="G66" i="8" s="1"/>
  <c r="F66" i="7"/>
  <c r="F66" i="8" s="1"/>
  <c r="E66" i="7"/>
  <c r="E66" i="8" s="1"/>
  <c r="D66" i="7"/>
  <c r="D66" i="8" s="1"/>
  <c r="C66" i="7"/>
  <c r="C66" i="8" s="1"/>
  <c r="B66" i="7"/>
  <c r="B66" i="8" s="1"/>
  <c r="A66" i="7"/>
  <c r="A66" i="8" s="1"/>
  <c r="L65" i="7"/>
  <c r="L65" i="8" s="1"/>
  <c r="K65" i="7"/>
  <c r="K65" i="8" s="1"/>
  <c r="J65" i="7"/>
  <c r="J65" i="8" s="1"/>
  <c r="I65" i="7"/>
  <c r="I65" i="8" s="1"/>
  <c r="H65" i="7"/>
  <c r="H65" i="8" s="1"/>
  <c r="G65" i="7"/>
  <c r="G65" i="8" s="1"/>
  <c r="F65" i="7"/>
  <c r="F65" i="8" s="1"/>
  <c r="E65" i="7"/>
  <c r="E65" i="8" s="1"/>
  <c r="D65" i="7"/>
  <c r="D65" i="8" s="1"/>
  <c r="C65" i="7"/>
  <c r="C65" i="8" s="1"/>
  <c r="B65" i="7"/>
  <c r="B65" i="8" s="1"/>
  <c r="A65" i="7"/>
  <c r="A65" i="8" s="1"/>
  <c r="L64" i="7"/>
  <c r="L64" i="8" s="1"/>
  <c r="K64" i="7"/>
  <c r="K64" i="8" s="1"/>
  <c r="J64" i="7"/>
  <c r="J64" i="8" s="1"/>
  <c r="I64" i="7"/>
  <c r="I64" i="8" s="1"/>
  <c r="H64" i="7"/>
  <c r="H64" i="8" s="1"/>
  <c r="G64" i="7"/>
  <c r="G64" i="8" s="1"/>
  <c r="F64" i="7"/>
  <c r="F64" i="8" s="1"/>
  <c r="E64" i="7"/>
  <c r="E64" i="8" s="1"/>
  <c r="D64" i="7"/>
  <c r="D64" i="8" s="1"/>
  <c r="C64" i="7"/>
  <c r="C64" i="8" s="1"/>
  <c r="B64" i="7"/>
  <c r="B64" i="8" s="1"/>
  <c r="A64" i="7"/>
  <c r="A64" i="8" s="1"/>
  <c r="L63" i="7"/>
  <c r="L63" i="8" s="1"/>
  <c r="K63" i="7"/>
  <c r="K63" i="8" s="1"/>
  <c r="J63" i="7"/>
  <c r="J63" i="8" s="1"/>
  <c r="I63" i="7"/>
  <c r="I63" i="8" s="1"/>
  <c r="H63" i="7"/>
  <c r="H63" i="8" s="1"/>
  <c r="G63" i="7"/>
  <c r="G63" i="8" s="1"/>
  <c r="F63" i="7"/>
  <c r="F63" i="8" s="1"/>
  <c r="E63" i="7"/>
  <c r="E63" i="8" s="1"/>
  <c r="D63" i="7"/>
  <c r="D63" i="8" s="1"/>
  <c r="C63" i="7"/>
  <c r="C63" i="8" s="1"/>
  <c r="B63" i="7"/>
  <c r="B63" i="8" s="1"/>
  <c r="A63" i="7"/>
  <c r="A63" i="8" s="1"/>
  <c r="L62" i="7"/>
  <c r="L62" i="8" s="1"/>
  <c r="K62" i="7"/>
  <c r="K62" i="8" s="1"/>
  <c r="J62" i="7"/>
  <c r="J62" i="8" s="1"/>
  <c r="I62" i="7"/>
  <c r="I62" i="8" s="1"/>
  <c r="H62" i="7"/>
  <c r="H62" i="8" s="1"/>
  <c r="G62" i="7"/>
  <c r="G62" i="8" s="1"/>
  <c r="F62" i="7"/>
  <c r="F62" i="8" s="1"/>
  <c r="E62" i="7"/>
  <c r="E62" i="8" s="1"/>
  <c r="D62" i="7"/>
  <c r="D62" i="8" s="1"/>
  <c r="C62" i="7"/>
  <c r="C62" i="8" s="1"/>
  <c r="B62" i="7"/>
  <c r="B62" i="8" s="1"/>
  <c r="A62" i="7"/>
  <c r="A62" i="8" s="1"/>
  <c r="L61" i="7"/>
  <c r="L61" i="8" s="1"/>
  <c r="K61" i="7"/>
  <c r="K61" i="8" s="1"/>
  <c r="J61" i="7"/>
  <c r="J61" i="8" s="1"/>
  <c r="I61" i="7"/>
  <c r="I61" i="8" s="1"/>
  <c r="H61" i="7"/>
  <c r="H61" i="8" s="1"/>
  <c r="G61" i="7"/>
  <c r="G61" i="8" s="1"/>
  <c r="F61" i="7"/>
  <c r="F61" i="8" s="1"/>
  <c r="E61" i="7"/>
  <c r="E61" i="8" s="1"/>
  <c r="D61" i="7"/>
  <c r="D61" i="8" s="1"/>
  <c r="C61" i="7"/>
  <c r="C61" i="8" s="1"/>
  <c r="B61" i="7"/>
  <c r="B61" i="8" s="1"/>
  <c r="A61" i="7"/>
  <c r="A61" i="8" s="1"/>
  <c r="L60" i="7"/>
  <c r="L60" i="8" s="1"/>
  <c r="K60" i="7"/>
  <c r="K60" i="8" s="1"/>
  <c r="J60" i="7"/>
  <c r="J60" i="8" s="1"/>
  <c r="I60" i="7"/>
  <c r="I60" i="8" s="1"/>
  <c r="H60" i="7"/>
  <c r="H60" i="8" s="1"/>
  <c r="G60" i="7"/>
  <c r="G60" i="8" s="1"/>
  <c r="F60" i="7"/>
  <c r="F60" i="8" s="1"/>
  <c r="E60" i="7"/>
  <c r="E60" i="8" s="1"/>
  <c r="D60" i="7"/>
  <c r="D60" i="8" s="1"/>
  <c r="C60" i="7"/>
  <c r="C60" i="8" s="1"/>
  <c r="B60" i="7"/>
  <c r="B60" i="8" s="1"/>
  <c r="A60" i="7"/>
  <c r="A60" i="8" s="1"/>
  <c r="L59" i="7"/>
  <c r="L59" i="8" s="1"/>
  <c r="K59" i="7"/>
  <c r="K59" i="8" s="1"/>
  <c r="J59" i="7"/>
  <c r="J59" i="8" s="1"/>
  <c r="I59" i="7"/>
  <c r="I59" i="8" s="1"/>
  <c r="H59" i="7"/>
  <c r="H59" i="8" s="1"/>
  <c r="G59" i="7"/>
  <c r="G59" i="8" s="1"/>
  <c r="F59" i="7"/>
  <c r="F59" i="8" s="1"/>
  <c r="E59" i="7"/>
  <c r="E59" i="8" s="1"/>
  <c r="D59" i="7"/>
  <c r="D59" i="8" s="1"/>
  <c r="C59" i="7"/>
  <c r="C59" i="8" s="1"/>
  <c r="B59" i="7"/>
  <c r="B59" i="8" s="1"/>
  <c r="A59" i="7"/>
  <c r="A59" i="8" s="1"/>
  <c r="L58" i="7"/>
  <c r="L58" i="8" s="1"/>
  <c r="K58" i="7"/>
  <c r="K58" i="8" s="1"/>
  <c r="J58" i="7"/>
  <c r="J58" i="8" s="1"/>
  <c r="I58" i="7"/>
  <c r="I58" i="8" s="1"/>
  <c r="H58" i="7"/>
  <c r="H58" i="8" s="1"/>
  <c r="G58" i="7"/>
  <c r="G58" i="8" s="1"/>
  <c r="F58" i="7"/>
  <c r="F58" i="8" s="1"/>
  <c r="E58" i="7"/>
  <c r="E58" i="8" s="1"/>
  <c r="D58" i="7"/>
  <c r="D58" i="8" s="1"/>
  <c r="C58" i="7"/>
  <c r="C58" i="8" s="1"/>
  <c r="B58" i="7"/>
  <c r="B58" i="8" s="1"/>
  <c r="A58" i="7"/>
  <c r="A58" i="8" s="1"/>
  <c r="L57" i="7"/>
  <c r="L57" i="8" s="1"/>
  <c r="K57" i="7"/>
  <c r="K57" i="8" s="1"/>
  <c r="J57" i="7"/>
  <c r="J57" i="8" s="1"/>
  <c r="I57" i="7"/>
  <c r="I57" i="8" s="1"/>
  <c r="H57" i="7"/>
  <c r="H57" i="8" s="1"/>
  <c r="G57" i="7"/>
  <c r="G57" i="8" s="1"/>
  <c r="F57" i="7"/>
  <c r="F57" i="8" s="1"/>
  <c r="E57" i="7"/>
  <c r="E57" i="8" s="1"/>
  <c r="D57" i="7"/>
  <c r="D57" i="8" s="1"/>
  <c r="C57" i="7"/>
  <c r="C57" i="8" s="1"/>
  <c r="B57" i="7"/>
  <c r="B57" i="8" s="1"/>
  <c r="A57" i="7"/>
  <c r="A57" i="8" s="1"/>
  <c r="L56" i="7"/>
  <c r="L56" i="8" s="1"/>
  <c r="K56" i="7"/>
  <c r="K56" i="8" s="1"/>
  <c r="J56" i="7"/>
  <c r="J56" i="8" s="1"/>
  <c r="I56" i="7"/>
  <c r="I56" i="8" s="1"/>
  <c r="H56" i="7"/>
  <c r="H56" i="8" s="1"/>
  <c r="G56" i="7"/>
  <c r="G56" i="8" s="1"/>
  <c r="F56" i="7"/>
  <c r="F56" i="8" s="1"/>
  <c r="E56" i="7"/>
  <c r="E56" i="8" s="1"/>
  <c r="D56" i="7"/>
  <c r="D56" i="8" s="1"/>
  <c r="C56" i="7"/>
  <c r="C56" i="8" s="1"/>
  <c r="B56" i="7"/>
  <c r="B56" i="8" s="1"/>
  <c r="A56" i="7"/>
  <c r="A56" i="8" s="1"/>
  <c r="L55" i="7"/>
  <c r="L55" i="8" s="1"/>
  <c r="K55" i="7"/>
  <c r="K55" i="8" s="1"/>
  <c r="J55" i="7"/>
  <c r="J55" i="8" s="1"/>
  <c r="I55" i="7"/>
  <c r="I55" i="8" s="1"/>
  <c r="H55" i="7"/>
  <c r="H55" i="8" s="1"/>
  <c r="G55" i="7"/>
  <c r="G55" i="8" s="1"/>
  <c r="F55" i="7"/>
  <c r="F55" i="8" s="1"/>
  <c r="E55" i="7"/>
  <c r="E55" i="8" s="1"/>
  <c r="D55" i="7"/>
  <c r="D55" i="8" s="1"/>
  <c r="C55" i="7"/>
  <c r="C55" i="8" s="1"/>
  <c r="B55" i="7"/>
  <c r="B55" i="8" s="1"/>
  <c r="A55" i="7"/>
  <c r="A55" i="8" s="1"/>
  <c r="L54" i="7"/>
  <c r="L54" i="8" s="1"/>
  <c r="K54" i="7"/>
  <c r="K54" i="8" s="1"/>
  <c r="J54" i="7"/>
  <c r="J54" i="8" s="1"/>
  <c r="I54" i="7"/>
  <c r="I54" i="8" s="1"/>
  <c r="H54" i="7"/>
  <c r="H54" i="8" s="1"/>
  <c r="G54" i="7"/>
  <c r="G54" i="8" s="1"/>
  <c r="F54" i="7"/>
  <c r="F54" i="8" s="1"/>
  <c r="E54" i="7"/>
  <c r="E54" i="8" s="1"/>
  <c r="D54" i="7"/>
  <c r="D54" i="8" s="1"/>
  <c r="C54" i="7"/>
  <c r="C54" i="8" s="1"/>
  <c r="B54" i="7"/>
  <c r="B54" i="8" s="1"/>
  <c r="A54" i="7"/>
  <c r="A54" i="8" s="1"/>
  <c r="L53" i="7"/>
  <c r="L53" i="8" s="1"/>
  <c r="K53" i="7"/>
  <c r="K53" i="8" s="1"/>
  <c r="J53" i="7"/>
  <c r="J53" i="8" s="1"/>
  <c r="I53" i="7"/>
  <c r="I53" i="8" s="1"/>
  <c r="H53" i="7"/>
  <c r="H53" i="8" s="1"/>
  <c r="G53" i="7"/>
  <c r="G53" i="8" s="1"/>
  <c r="F53" i="7"/>
  <c r="F53" i="8" s="1"/>
  <c r="E53" i="7"/>
  <c r="E53" i="8" s="1"/>
  <c r="D53" i="7"/>
  <c r="D53" i="8" s="1"/>
  <c r="C53" i="7"/>
  <c r="C53" i="8" s="1"/>
  <c r="B53" i="7"/>
  <c r="B53" i="8" s="1"/>
  <c r="A53" i="7"/>
  <c r="A53" i="8" s="1"/>
  <c r="L52" i="7"/>
  <c r="L52" i="8" s="1"/>
  <c r="K52" i="7"/>
  <c r="K52" i="8" s="1"/>
  <c r="J52" i="7"/>
  <c r="J52" i="8" s="1"/>
  <c r="I52" i="7"/>
  <c r="I52" i="8" s="1"/>
  <c r="H52" i="7"/>
  <c r="H52" i="8" s="1"/>
  <c r="G52" i="7"/>
  <c r="G52" i="8" s="1"/>
  <c r="F52" i="7"/>
  <c r="F52" i="8" s="1"/>
  <c r="E52" i="7"/>
  <c r="E52" i="8" s="1"/>
  <c r="D52" i="7"/>
  <c r="D52" i="8" s="1"/>
  <c r="C52" i="7"/>
  <c r="C52" i="8" s="1"/>
  <c r="B52" i="7"/>
  <c r="B52" i="8" s="1"/>
  <c r="A52" i="7"/>
  <c r="A52" i="8" s="1"/>
  <c r="L51" i="7"/>
  <c r="L51" i="8" s="1"/>
  <c r="K51" i="7"/>
  <c r="K51" i="8" s="1"/>
  <c r="J51" i="7"/>
  <c r="J51" i="8" s="1"/>
  <c r="I51" i="7"/>
  <c r="I51" i="8" s="1"/>
  <c r="H51" i="7"/>
  <c r="H51" i="8" s="1"/>
  <c r="G51" i="7"/>
  <c r="G51" i="8" s="1"/>
  <c r="F51" i="7"/>
  <c r="F51" i="8" s="1"/>
  <c r="E51" i="7"/>
  <c r="E51" i="8" s="1"/>
  <c r="D51" i="7"/>
  <c r="D51" i="8" s="1"/>
  <c r="C51" i="7"/>
  <c r="C51" i="8" s="1"/>
  <c r="B51" i="7"/>
  <c r="B51" i="8" s="1"/>
  <c r="A51" i="7"/>
  <c r="A51" i="8" s="1"/>
  <c r="L50" i="7"/>
  <c r="L50" i="8" s="1"/>
  <c r="K50" i="7"/>
  <c r="K50" i="8" s="1"/>
  <c r="J50" i="7"/>
  <c r="J50" i="8" s="1"/>
  <c r="I50" i="7"/>
  <c r="I50" i="8" s="1"/>
  <c r="H50" i="7"/>
  <c r="H50" i="8" s="1"/>
  <c r="G50" i="7"/>
  <c r="G50" i="8" s="1"/>
  <c r="F50" i="7"/>
  <c r="F50" i="8" s="1"/>
  <c r="E50" i="7"/>
  <c r="E50" i="8" s="1"/>
  <c r="D50" i="7"/>
  <c r="D50" i="8" s="1"/>
  <c r="C50" i="7"/>
  <c r="C50" i="8" s="1"/>
  <c r="B50" i="7"/>
  <c r="B50" i="8" s="1"/>
  <c r="A50" i="7"/>
  <c r="A50" i="8" s="1"/>
  <c r="L49" i="7"/>
  <c r="L49" i="8" s="1"/>
  <c r="K49" i="7"/>
  <c r="K49" i="8" s="1"/>
  <c r="J49" i="7"/>
  <c r="J49" i="8" s="1"/>
  <c r="I49" i="7"/>
  <c r="I49" i="8" s="1"/>
  <c r="H49" i="7"/>
  <c r="H49" i="8" s="1"/>
  <c r="G49" i="7"/>
  <c r="G49" i="8" s="1"/>
  <c r="F49" i="7"/>
  <c r="F49" i="8" s="1"/>
  <c r="E49" i="7"/>
  <c r="E49" i="8" s="1"/>
  <c r="D49" i="7"/>
  <c r="D49" i="8" s="1"/>
  <c r="C49" i="7"/>
  <c r="C49" i="8" s="1"/>
  <c r="B49" i="7"/>
  <c r="B49" i="8" s="1"/>
  <c r="A49" i="7"/>
  <c r="A49" i="8" s="1"/>
  <c r="L48" i="7"/>
  <c r="L48" i="8" s="1"/>
  <c r="K48" i="7"/>
  <c r="K48" i="8" s="1"/>
  <c r="J48" i="7"/>
  <c r="J48" i="8" s="1"/>
  <c r="I48" i="7"/>
  <c r="I48" i="8" s="1"/>
  <c r="H48" i="7"/>
  <c r="H48" i="8" s="1"/>
  <c r="G48" i="7"/>
  <c r="G48" i="8" s="1"/>
  <c r="F48" i="7"/>
  <c r="F48" i="8" s="1"/>
  <c r="E48" i="7"/>
  <c r="E48" i="8" s="1"/>
  <c r="D48" i="7"/>
  <c r="D48" i="8" s="1"/>
  <c r="C48" i="7"/>
  <c r="C48" i="8" s="1"/>
  <c r="B48" i="7"/>
  <c r="B48" i="8" s="1"/>
  <c r="A48" i="7"/>
  <c r="A48" i="8" s="1"/>
  <c r="L47" i="7"/>
  <c r="L47" i="8" s="1"/>
  <c r="K47" i="7"/>
  <c r="K47" i="8" s="1"/>
  <c r="J47" i="7"/>
  <c r="J47" i="8" s="1"/>
  <c r="I47" i="7"/>
  <c r="I47" i="8" s="1"/>
  <c r="H47" i="7"/>
  <c r="H47" i="8" s="1"/>
  <c r="G47" i="7"/>
  <c r="G47" i="8" s="1"/>
  <c r="F47" i="7"/>
  <c r="F47" i="8" s="1"/>
  <c r="E47" i="7"/>
  <c r="E47" i="8" s="1"/>
  <c r="D47" i="7"/>
  <c r="D47" i="8" s="1"/>
  <c r="C47" i="7"/>
  <c r="C47" i="8" s="1"/>
  <c r="B47" i="7"/>
  <c r="B47" i="8" s="1"/>
  <c r="A47" i="7"/>
  <c r="A47" i="8" s="1"/>
  <c r="L46" i="7"/>
  <c r="L46" i="8" s="1"/>
  <c r="K46" i="7"/>
  <c r="K46" i="8" s="1"/>
  <c r="J46" i="7"/>
  <c r="J46" i="8" s="1"/>
  <c r="I46" i="7"/>
  <c r="I46" i="8" s="1"/>
  <c r="H46" i="7"/>
  <c r="H46" i="8" s="1"/>
  <c r="G46" i="7"/>
  <c r="G46" i="8" s="1"/>
  <c r="F46" i="7"/>
  <c r="F46" i="8" s="1"/>
  <c r="E46" i="7"/>
  <c r="E46" i="8" s="1"/>
  <c r="D46" i="7"/>
  <c r="D46" i="8" s="1"/>
  <c r="C46" i="7"/>
  <c r="C46" i="8" s="1"/>
  <c r="B46" i="7"/>
  <c r="B46" i="8" s="1"/>
  <c r="A46" i="7"/>
  <c r="A46" i="8" s="1"/>
  <c r="L45" i="7"/>
  <c r="L45" i="8" s="1"/>
  <c r="K45" i="7"/>
  <c r="K45" i="8" s="1"/>
  <c r="J45" i="7"/>
  <c r="J45" i="8" s="1"/>
  <c r="I45" i="7"/>
  <c r="I45" i="8" s="1"/>
  <c r="H45" i="7"/>
  <c r="H45" i="8" s="1"/>
  <c r="G45" i="7"/>
  <c r="G45" i="8" s="1"/>
  <c r="F45" i="7"/>
  <c r="F45" i="8" s="1"/>
  <c r="E45" i="7"/>
  <c r="E45" i="8" s="1"/>
  <c r="D45" i="7"/>
  <c r="D45" i="8" s="1"/>
  <c r="C45" i="7"/>
  <c r="C45" i="8" s="1"/>
  <c r="B45" i="7"/>
  <c r="B45" i="8" s="1"/>
  <c r="A45" i="7"/>
  <c r="A45" i="8" s="1"/>
  <c r="L44" i="7"/>
  <c r="L44" i="8" s="1"/>
  <c r="K44" i="7"/>
  <c r="K44" i="8" s="1"/>
  <c r="J44" i="7"/>
  <c r="J44" i="8" s="1"/>
  <c r="I44" i="7"/>
  <c r="I44" i="8" s="1"/>
  <c r="H44" i="7"/>
  <c r="H44" i="8" s="1"/>
  <c r="G44" i="7"/>
  <c r="G44" i="8" s="1"/>
  <c r="F44" i="7"/>
  <c r="F44" i="8" s="1"/>
  <c r="E44" i="7"/>
  <c r="E44" i="8" s="1"/>
  <c r="D44" i="7"/>
  <c r="D44" i="8" s="1"/>
  <c r="C44" i="7"/>
  <c r="C44" i="8" s="1"/>
  <c r="B44" i="7"/>
  <c r="B44" i="8" s="1"/>
  <c r="A44" i="7"/>
  <c r="A44" i="8" s="1"/>
  <c r="L43" i="7"/>
  <c r="L43" i="8" s="1"/>
  <c r="K43" i="7"/>
  <c r="K43" i="8" s="1"/>
  <c r="J43" i="7"/>
  <c r="J43" i="8" s="1"/>
  <c r="I43" i="7"/>
  <c r="I43" i="8" s="1"/>
  <c r="H43" i="7"/>
  <c r="H43" i="8" s="1"/>
  <c r="G43" i="7"/>
  <c r="G43" i="8" s="1"/>
  <c r="F43" i="7"/>
  <c r="F43" i="8" s="1"/>
  <c r="E43" i="7"/>
  <c r="E43" i="8" s="1"/>
  <c r="D43" i="7"/>
  <c r="D43" i="8" s="1"/>
  <c r="C43" i="7"/>
  <c r="C43" i="8" s="1"/>
  <c r="B43" i="7"/>
  <c r="B43" i="8" s="1"/>
  <c r="A43" i="7"/>
  <c r="A43" i="8" s="1"/>
  <c r="L42" i="7"/>
  <c r="L42" i="8" s="1"/>
  <c r="K42" i="7"/>
  <c r="K42" i="8" s="1"/>
  <c r="J42" i="7"/>
  <c r="J42" i="8" s="1"/>
  <c r="I42" i="7"/>
  <c r="I42" i="8" s="1"/>
  <c r="H42" i="7"/>
  <c r="H42" i="8" s="1"/>
  <c r="G42" i="7"/>
  <c r="G42" i="8" s="1"/>
  <c r="F42" i="7"/>
  <c r="F42" i="8" s="1"/>
  <c r="E42" i="7"/>
  <c r="E42" i="8" s="1"/>
  <c r="D42" i="7"/>
  <c r="D42" i="8" s="1"/>
  <c r="C42" i="7"/>
  <c r="C42" i="8" s="1"/>
  <c r="B42" i="7"/>
  <c r="B42" i="8" s="1"/>
  <c r="A42" i="7"/>
  <c r="A42" i="8" s="1"/>
  <c r="L41" i="7"/>
  <c r="L41" i="8" s="1"/>
  <c r="K41" i="7"/>
  <c r="K41" i="8" s="1"/>
  <c r="J41" i="7"/>
  <c r="J41" i="8" s="1"/>
  <c r="I41" i="7"/>
  <c r="I41" i="8" s="1"/>
  <c r="H41" i="7"/>
  <c r="H41" i="8" s="1"/>
  <c r="G41" i="7"/>
  <c r="G41" i="8" s="1"/>
  <c r="F41" i="7"/>
  <c r="F41" i="8" s="1"/>
  <c r="E41" i="7"/>
  <c r="E41" i="8" s="1"/>
  <c r="D41" i="7"/>
  <c r="D41" i="8" s="1"/>
  <c r="C41" i="7"/>
  <c r="C41" i="8" s="1"/>
  <c r="B41" i="7"/>
  <c r="B41" i="8" s="1"/>
  <c r="A41" i="7"/>
  <c r="A41" i="8" s="1"/>
  <c r="L40" i="7"/>
  <c r="L40" i="8" s="1"/>
  <c r="K40" i="7"/>
  <c r="K40" i="8" s="1"/>
  <c r="J40" i="7"/>
  <c r="J40" i="8" s="1"/>
  <c r="I40" i="7"/>
  <c r="I40" i="8" s="1"/>
  <c r="H40" i="7"/>
  <c r="H40" i="8" s="1"/>
  <c r="G40" i="7"/>
  <c r="G40" i="8" s="1"/>
  <c r="F40" i="7"/>
  <c r="F40" i="8" s="1"/>
  <c r="E40" i="7"/>
  <c r="E40" i="8" s="1"/>
  <c r="D40" i="7"/>
  <c r="D40" i="8" s="1"/>
  <c r="C40" i="7"/>
  <c r="C40" i="8" s="1"/>
  <c r="B40" i="7"/>
  <c r="B40" i="8" s="1"/>
  <c r="A40" i="7"/>
  <c r="A40" i="8" s="1"/>
  <c r="L39" i="7"/>
  <c r="L39" i="8" s="1"/>
  <c r="K39" i="7"/>
  <c r="K39" i="8" s="1"/>
  <c r="J39" i="7"/>
  <c r="J39" i="8" s="1"/>
  <c r="I39" i="7"/>
  <c r="I39" i="8" s="1"/>
  <c r="H39" i="7"/>
  <c r="H39" i="8" s="1"/>
  <c r="G39" i="7"/>
  <c r="G39" i="8" s="1"/>
  <c r="F39" i="7"/>
  <c r="F39" i="8" s="1"/>
  <c r="E39" i="7"/>
  <c r="E39" i="8" s="1"/>
  <c r="D39" i="7"/>
  <c r="D39" i="8" s="1"/>
  <c r="C39" i="7"/>
  <c r="C39" i="8" s="1"/>
  <c r="B39" i="7"/>
  <c r="B39" i="8" s="1"/>
  <c r="A39" i="7"/>
  <c r="A39" i="8" s="1"/>
  <c r="L38" i="7"/>
  <c r="L38" i="8" s="1"/>
  <c r="K38" i="7"/>
  <c r="K38" i="8" s="1"/>
  <c r="J38" i="7"/>
  <c r="J38" i="8" s="1"/>
  <c r="I38" i="7"/>
  <c r="I38" i="8" s="1"/>
  <c r="H38" i="7"/>
  <c r="H38" i="8" s="1"/>
  <c r="G38" i="7"/>
  <c r="G38" i="8" s="1"/>
  <c r="F38" i="7"/>
  <c r="F38" i="8" s="1"/>
  <c r="E38" i="7"/>
  <c r="E38" i="8" s="1"/>
  <c r="D38" i="7"/>
  <c r="D38" i="8" s="1"/>
  <c r="C38" i="7"/>
  <c r="C38" i="8" s="1"/>
  <c r="B38" i="7"/>
  <c r="B38" i="8" s="1"/>
  <c r="A38" i="7"/>
  <c r="A38" i="8" s="1"/>
  <c r="L37" i="7"/>
  <c r="L37" i="8" s="1"/>
  <c r="K37" i="7"/>
  <c r="K37" i="8" s="1"/>
  <c r="J37" i="7"/>
  <c r="J37" i="8" s="1"/>
  <c r="I37" i="7"/>
  <c r="I37" i="8" s="1"/>
  <c r="H37" i="7"/>
  <c r="H37" i="8" s="1"/>
  <c r="G37" i="7"/>
  <c r="G37" i="8" s="1"/>
  <c r="F37" i="7"/>
  <c r="F37" i="8" s="1"/>
  <c r="E37" i="7"/>
  <c r="E37" i="8" s="1"/>
  <c r="D37" i="7"/>
  <c r="D37" i="8" s="1"/>
  <c r="C37" i="7"/>
  <c r="C37" i="8" s="1"/>
  <c r="B37" i="7"/>
  <c r="B37" i="8" s="1"/>
  <c r="A37" i="7"/>
  <c r="A37" i="8" s="1"/>
  <c r="L36" i="7"/>
  <c r="L36" i="8" s="1"/>
  <c r="K36" i="7"/>
  <c r="K36" i="8" s="1"/>
  <c r="J36" i="7"/>
  <c r="J36" i="8" s="1"/>
  <c r="I36" i="7"/>
  <c r="I36" i="8" s="1"/>
  <c r="H36" i="7"/>
  <c r="H36" i="8" s="1"/>
  <c r="G36" i="7"/>
  <c r="G36" i="8" s="1"/>
  <c r="F36" i="7"/>
  <c r="F36" i="8" s="1"/>
  <c r="E36" i="7"/>
  <c r="E36" i="8" s="1"/>
  <c r="D36" i="7"/>
  <c r="D36" i="8" s="1"/>
  <c r="C36" i="7"/>
  <c r="C36" i="8" s="1"/>
  <c r="B36" i="7"/>
  <c r="B36" i="8" s="1"/>
  <c r="A36" i="7"/>
  <c r="A36" i="8" s="1"/>
  <c r="L35" i="7"/>
  <c r="L35" i="8" s="1"/>
  <c r="K35" i="7"/>
  <c r="K35" i="8" s="1"/>
  <c r="J35" i="7"/>
  <c r="J35" i="8" s="1"/>
  <c r="I35" i="7"/>
  <c r="I35" i="8" s="1"/>
  <c r="H35" i="7"/>
  <c r="H35" i="8" s="1"/>
  <c r="G35" i="7"/>
  <c r="G35" i="8" s="1"/>
  <c r="F35" i="7"/>
  <c r="F35" i="8" s="1"/>
  <c r="E35" i="7"/>
  <c r="E35" i="8" s="1"/>
  <c r="D35" i="7"/>
  <c r="D35" i="8" s="1"/>
  <c r="C35" i="7"/>
  <c r="C35" i="8" s="1"/>
  <c r="B35" i="7"/>
  <c r="B35" i="8" s="1"/>
  <c r="A35" i="7"/>
  <c r="A35" i="8" s="1"/>
  <c r="L34" i="7"/>
  <c r="L34" i="8" s="1"/>
  <c r="K34" i="7"/>
  <c r="K34" i="8" s="1"/>
  <c r="J34" i="7"/>
  <c r="J34" i="8" s="1"/>
  <c r="I34" i="7"/>
  <c r="I34" i="8" s="1"/>
  <c r="H34" i="7"/>
  <c r="H34" i="8" s="1"/>
  <c r="G34" i="7"/>
  <c r="G34" i="8" s="1"/>
  <c r="F34" i="7"/>
  <c r="F34" i="8" s="1"/>
  <c r="E34" i="7"/>
  <c r="E34" i="8" s="1"/>
  <c r="D34" i="7"/>
  <c r="D34" i="8" s="1"/>
  <c r="C34" i="7"/>
  <c r="C34" i="8" s="1"/>
  <c r="B34" i="7"/>
  <c r="B34" i="8" s="1"/>
  <c r="A34" i="7"/>
  <c r="A34" i="8" s="1"/>
  <c r="L33" i="7"/>
  <c r="L33" i="8" s="1"/>
  <c r="K33" i="7"/>
  <c r="K33" i="8" s="1"/>
  <c r="J33" i="7"/>
  <c r="J33" i="8" s="1"/>
  <c r="I33" i="7"/>
  <c r="I33" i="8" s="1"/>
  <c r="H33" i="7"/>
  <c r="H33" i="8" s="1"/>
  <c r="G33" i="7"/>
  <c r="G33" i="8" s="1"/>
  <c r="F33" i="7"/>
  <c r="F33" i="8" s="1"/>
  <c r="E33" i="7"/>
  <c r="E33" i="8" s="1"/>
  <c r="D33" i="7"/>
  <c r="D33" i="8" s="1"/>
  <c r="C33" i="7"/>
  <c r="C33" i="8" s="1"/>
  <c r="B33" i="7"/>
  <c r="B33" i="8" s="1"/>
  <c r="A33" i="7"/>
  <c r="A33" i="8" s="1"/>
  <c r="L32" i="7"/>
  <c r="L32" i="8" s="1"/>
  <c r="K32" i="7"/>
  <c r="K32" i="8" s="1"/>
  <c r="J32" i="7"/>
  <c r="J32" i="8" s="1"/>
  <c r="I32" i="7"/>
  <c r="I32" i="8" s="1"/>
  <c r="H32" i="7"/>
  <c r="H32" i="8" s="1"/>
  <c r="G32" i="7"/>
  <c r="G32" i="8" s="1"/>
  <c r="F32" i="7"/>
  <c r="F32" i="8" s="1"/>
  <c r="E32" i="7"/>
  <c r="E32" i="8" s="1"/>
  <c r="D32" i="7"/>
  <c r="D32" i="8" s="1"/>
  <c r="C32" i="7"/>
  <c r="C32" i="8" s="1"/>
  <c r="B32" i="7"/>
  <c r="B32" i="8" s="1"/>
  <c r="A32" i="7"/>
  <c r="A32" i="8" s="1"/>
  <c r="L31" i="7"/>
  <c r="L31" i="8" s="1"/>
  <c r="K31" i="7"/>
  <c r="K31" i="8" s="1"/>
  <c r="J31" i="7"/>
  <c r="J31" i="8" s="1"/>
  <c r="I31" i="7"/>
  <c r="I31" i="8" s="1"/>
  <c r="H31" i="7"/>
  <c r="H31" i="8" s="1"/>
  <c r="G31" i="7"/>
  <c r="G31" i="8" s="1"/>
  <c r="F31" i="7"/>
  <c r="F31" i="8" s="1"/>
  <c r="E31" i="7"/>
  <c r="E31" i="8" s="1"/>
  <c r="D31" i="7"/>
  <c r="D31" i="8" s="1"/>
  <c r="C31" i="7"/>
  <c r="C31" i="8" s="1"/>
  <c r="B31" i="7"/>
  <c r="B31" i="8" s="1"/>
  <c r="A31" i="7"/>
  <c r="A31" i="8" s="1"/>
  <c r="L30" i="7"/>
  <c r="L30" i="8" s="1"/>
  <c r="K30" i="7"/>
  <c r="K30" i="8" s="1"/>
  <c r="J30" i="7"/>
  <c r="J30" i="8" s="1"/>
  <c r="I30" i="7"/>
  <c r="I30" i="8" s="1"/>
  <c r="H30" i="7"/>
  <c r="H30" i="8" s="1"/>
  <c r="G30" i="7"/>
  <c r="G30" i="8" s="1"/>
  <c r="F30" i="7"/>
  <c r="F30" i="8" s="1"/>
  <c r="E30" i="7"/>
  <c r="E30" i="8" s="1"/>
  <c r="D30" i="7"/>
  <c r="D30" i="8" s="1"/>
  <c r="C30" i="7"/>
  <c r="C30" i="8" s="1"/>
  <c r="B30" i="7"/>
  <c r="B30" i="8" s="1"/>
  <c r="A30" i="7"/>
  <c r="A30" i="8" s="1"/>
  <c r="L29" i="7"/>
  <c r="L29" i="8" s="1"/>
  <c r="K29" i="7"/>
  <c r="K29" i="8" s="1"/>
  <c r="J29" i="7"/>
  <c r="J29" i="8" s="1"/>
  <c r="I29" i="7"/>
  <c r="I29" i="8" s="1"/>
  <c r="H29" i="7"/>
  <c r="H29" i="8" s="1"/>
  <c r="G29" i="7"/>
  <c r="G29" i="8" s="1"/>
  <c r="F29" i="7"/>
  <c r="F29" i="8" s="1"/>
  <c r="E29" i="7"/>
  <c r="E29" i="8" s="1"/>
  <c r="D29" i="7"/>
  <c r="D29" i="8" s="1"/>
  <c r="C29" i="7"/>
  <c r="C29" i="8" s="1"/>
  <c r="B29" i="7"/>
  <c r="B29" i="8" s="1"/>
  <c r="A29" i="7"/>
  <c r="A29" i="8" s="1"/>
  <c r="L28" i="7"/>
  <c r="L28" i="8" s="1"/>
  <c r="K28" i="7"/>
  <c r="K28" i="8" s="1"/>
  <c r="J28" i="7"/>
  <c r="J28" i="8" s="1"/>
  <c r="I28" i="7"/>
  <c r="I28" i="8" s="1"/>
  <c r="H28" i="7"/>
  <c r="H28" i="8" s="1"/>
  <c r="G28" i="7"/>
  <c r="G28" i="8" s="1"/>
  <c r="F28" i="7"/>
  <c r="F28" i="8" s="1"/>
  <c r="E28" i="7"/>
  <c r="E28" i="8" s="1"/>
  <c r="D28" i="7"/>
  <c r="D28" i="8" s="1"/>
  <c r="C28" i="7"/>
  <c r="C28" i="8" s="1"/>
  <c r="B28" i="7"/>
  <c r="B28" i="8" s="1"/>
  <c r="A28" i="7"/>
  <c r="A28" i="8" s="1"/>
  <c r="L27" i="7"/>
  <c r="L27" i="8" s="1"/>
  <c r="K27" i="7"/>
  <c r="K27" i="8" s="1"/>
  <c r="J27" i="7"/>
  <c r="J27" i="8" s="1"/>
  <c r="I27" i="7"/>
  <c r="I27" i="8" s="1"/>
  <c r="H27" i="7"/>
  <c r="H27" i="8" s="1"/>
  <c r="G27" i="7"/>
  <c r="G27" i="8" s="1"/>
  <c r="F27" i="7"/>
  <c r="F27" i="8" s="1"/>
  <c r="E27" i="7"/>
  <c r="E27" i="8" s="1"/>
  <c r="D27" i="7"/>
  <c r="D27" i="8" s="1"/>
  <c r="C27" i="7"/>
  <c r="C27" i="8" s="1"/>
  <c r="B27" i="7"/>
  <c r="B27" i="8" s="1"/>
  <c r="A27" i="7"/>
  <c r="A27" i="8" s="1"/>
  <c r="L26" i="7"/>
  <c r="L26" i="8" s="1"/>
  <c r="K26" i="7"/>
  <c r="K26" i="8" s="1"/>
  <c r="J26" i="7"/>
  <c r="J26" i="8" s="1"/>
  <c r="I26" i="7"/>
  <c r="I26" i="8" s="1"/>
  <c r="H26" i="7"/>
  <c r="H26" i="8" s="1"/>
  <c r="G26" i="7"/>
  <c r="G26" i="8" s="1"/>
  <c r="F26" i="7"/>
  <c r="F26" i="8" s="1"/>
  <c r="E26" i="7"/>
  <c r="E26" i="8" s="1"/>
  <c r="D26" i="7"/>
  <c r="D26" i="8" s="1"/>
  <c r="C26" i="7"/>
  <c r="C26" i="8" s="1"/>
  <c r="B26" i="7"/>
  <c r="B26" i="8" s="1"/>
  <c r="A26" i="7"/>
  <c r="A26" i="8" s="1"/>
  <c r="L25" i="7"/>
  <c r="L25" i="8" s="1"/>
  <c r="K25" i="7"/>
  <c r="K25" i="8" s="1"/>
  <c r="J25" i="7"/>
  <c r="J25" i="8" s="1"/>
  <c r="I25" i="7"/>
  <c r="I25" i="8" s="1"/>
  <c r="H25" i="7"/>
  <c r="H25" i="8" s="1"/>
  <c r="G25" i="7"/>
  <c r="G25" i="8" s="1"/>
  <c r="F25" i="7"/>
  <c r="F25" i="8" s="1"/>
  <c r="E25" i="7"/>
  <c r="E25" i="8" s="1"/>
  <c r="D25" i="7"/>
  <c r="D25" i="8" s="1"/>
  <c r="C25" i="7"/>
  <c r="C25" i="8" s="1"/>
  <c r="B25" i="7"/>
  <c r="B25" i="8" s="1"/>
  <c r="A25" i="7"/>
  <c r="A25" i="8" s="1"/>
  <c r="L24" i="7"/>
  <c r="L24" i="8" s="1"/>
  <c r="K24" i="7"/>
  <c r="K24" i="8" s="1"/>
  <c r="J24" i="7"/>
  <c r="J24" i="8" s="1"/>
  <c r="I24" i="7"/>
  <c r="I24" i="8" s="1"/>
  <c r="H24" i="7"/>
  <c r="H24" i="8" s="1"/>
  <c r="G24" i="7"/>
  <c r="G24" i="8" s="1"/>
  <c r="F24" i="7"/>
  <c r="F24" i="8" s="1"/>
  <c r="E24" i="7"/>
  <c r="E24" i="8" s="1"/>
  <c r="D24" i="7"/>
  <c r="D24" i="8" s="1"/>
  <c r="C24" i="7"/>
  <c r="C24" i="8" s="1"/>
  <c r="B24" i="7"/>
  <c r="B24" i="8" s="1"/>
  <c r="A24" i="7"/>
  <c r="A24" i="8" s="1"/>
  <c r="L23" i="7"/>
  <c r="L23" i="8" s="1"/>
  <c r="K23" i="7"/>
  <c r="K23" i="8" s="1"/>
  <c r="J23" i="7"/>
  <c r="J23" i="8" s="1"/>
  <c r="I23" i="7"/>
  <c r="I23" i="8" s="1"/>
  <c r="H23" i="7"/>
  <c r="H23" i="8" s="1"/>
  <c r="G23" i="7"/>
  <c r="G23" i="8" s="1"/>
  <c r="F23" i="7"/>
  <c r="F23" i="8" s="1"/>
  <c r="E23" i="7"/>
  <c r="E23" i="8" s="1"/>
  <c r="D23" i="7"/>
  <c r="D23" i="8" s="1"/>
  <c r="C23" i="7"/>
  <c r="C23" i="8" s="1"/>
  <c r="B23" i="7"/>
  <c r="B23" i="8" s="1"/>
  <c r="A23" i="7"/>
  <c r="A23" i="8" s="1"/>
  <c r="L22" i="7"/>
  <c r="L22" i="8" s="1"/>
  <c r="K22" i="7"/>
  <c r="K22" i="8" s="1"/>
  <c r="J22" i="7"/>
  <c r="J22" i="8" s="1"/>
  <c r="I22" i="7"/>
  <c r="I22" i="8" s="1"/>
  <c r="H22" i="7"/>
  <c r="H22" i="8" s="1"/>
  <c r="G22" i="7"/>
  <c r="G22" i="8" s="1"/>
  <c r="F22" i="7"/>
  <c r="F22" i="8" s="1"/>
  <c r="E22" i="7"/>
  <c r="E22" i="8" s="1"/>
  <c r="D22" i="7"/>
  <c r="D22" i="8" s="1"/>
  <c r="C22" i="7"/>
  <c r="C22" i="8" s="1"/>
  <c r="B22" i="7"/>
  <c r="B22" i="8" s="1"/>
  <c r="A22" i="7"/>
  <c r="A22" i="8" s="1"/>
  <c r="L21" i="7"/>
  <c r="L21" i="8" s="1"/>
  <c r="K21" i="7"/>
  <c r="K21" i="8" s="1"/>
  <c r="J21" i="7"/>
  <c r="J21" i="8" s="1"/>
  <c r="I21" i="7"/>
  <c r="I21" i="8" s="1"/>
  <c r="H21" i="7"/>
  <c r="H21" i="8" s="1"/>
  <c r="G21" i="7"/>
  <c r="G21" i="8" s="1"/>
  <c r="F21" i="7"/>
  <c r="F21" i="8" s="1"/>
  <c r="E21" i="7"/>
  <c r="E21" i="8" s="1"/>
  <c r="D21" i="7"/>
  <c r="D21" i="8" s="1"/>
  <c r="C21" i="7"/>
  <c r="C21" i="8" s="1"/>
  <c r="B21" i="7"/>
  <c r="B21" i="8" s="1"/>
  <c r="A21" i="7"/>
  <c r="A21" i="8" s="1"/>
  <c r="L20" i="7"/>
  <c r="L20" i="8" s="1"/>
  <c r="K20" i="7"/>
  <c r="K20" i="8" s="1"/>
  <c r="J20" i="7"/>
  <c r="J20" i="8" s="1"/>
  <c r="I20" i="7"/>
  <c r="I20" i="8" s="1"/>
  <c r="H20" i="7"/>
  <c r="H20" i="8" s="1"/>
  <c r="G20" i="7"/>
  <c r="G20" i="8" s="1"/>
  <c r="F20" i="7"/>
  <c r="F20" i="8" s="1"/>
  <c r="E20" i="7"/>
  <c r="E20" i="8" s="1"/>
  <c r="D20" i="7"/>
  <c r="D20" i="8" s="1"/>
  <c r="C20" i="7"/>
  <c r="C20" i="8" s="1"/>
  <c r="B20" i="7"/>
  <c r="B20" i="8" s="1"/>
  <c r="A20" i="7"/>
  <c r="A20" i="8" s="1"/>
  <c r="L19" i="7"/>
  <c r="L19" i="8" s="1"/>
  <c r="K19" i="7"/>
  <c r="K19" i="8" s="1"/>
  <c r="J19" i="7"/>
  <c r="J19" i="8" s="1"/>
  <c r="I19" i="7"/>
  <c r="I19" i="8" s="1"/>
  <c r="H19" i="7"/>
  <c r="H19" i="8" s="1"/>
  <c r="G19" i="7"/>
  <c r="G19" i="8" s="1"/>
  <c r="F19" i="7"/>
  <c r="F19" i="8" s="1"/>
  <c r="E19" i="7"/>
  <c r="E19" i="8" s="1"/>
  <c r="D19" i="7"/>
  <c r="D19" i="8" s="1"/>
  <c r="C19" i="7"/>
  <c r="C19" i="8" s="1"/>
  <c r="B19" i="7"/>
  <c r="B19" i="8" s="1"/>
  <c r="A19" i="7"/>
  <c r="A19" i="8" s="1"/>
  <c r="L18" i="7"/>
  <c r="L18" i="8" s="1"/>
  <c r="K18" i="7"/>
  <c r="K18" i="8" s="1"/>
  <c r="J18" i="7"/>
  <c r="J18" i="8" s="1"/>
  <c r="I18" i="7"/>
  <c r="I18" i="8" s="1"/>
  <c r="H18" i="7"/>
  <c r="H18" i="8" s="1"/>
  <c r="G18" i="7"/>
  <c r="G18" i="8" s="1"/>
  <c r="F18" i="7"/>
  <c r="F18" i="8" s="1"/>
  <c r="E18" i="7"/>
  <c r="E18" i="8" s="1"/>
  <c r="D18" i="7"/>
  <c r="D18" i="8" s="1"/>
  <c r="C18" i="7"/>
  <c r="C18" i="8" s="1"/>
  <c r="B18" i="7"/>
  <c r="B18" i="8" s="1"/>
  <c r="A18" i="7"/>
  <c r="A18" i="8" s="1"/>
  <c r="L17" i="7"/>
  <c r="L17" i="8" s="1"/>
  <c r="K17" i="7"/>
  <c r="K17" i="8" s="1"/>
  <c r="J17" i="7"/>
  <c r="J17" i="8" s="1"/>
  <c r="I17" i="7"/>
  <c r="I17" i="8" s="1"/>
  <c r="H17" i="7"/>
  <c r="H17" i="8" s="1"/>
  <c r="G17" i="7"/>
  <c r="G17" i="8" s="1"/>
  <c r="F17" i="7"/>
  <c r="F17" i="8" s="1"/>
  <c r="E17" i="7"/>
  <c r="E17" i="8" s="1"/>
  <c r="D17" i="7"/>
  <c r="D17" i="8" s="1"/>
  <c r="C17" i="7"/>
  <c r="C17" i="8" s="1"/>
  <c r="B17" i="7"/>
  <c r="B17" i="8" s="1"/>
  <c r="A17" i="7"/>
  <c r="A17" i="8" s="1"/>
  <c r="L16" i="7"/>
  <c r="L16" i="8" s="1"/>
  <c r="K16" i="7"/>
  <c r="K16" i="8" s="1"/>
  <c r="J16" i="7"/>
  <c r="J16" i="8" s="1"/>
  <c r="I16" i="7"/>
  <c r="I16" i="8" s="1"/>
  <c r="H16" i="7"/>
  <c r="H16" i="8" s="1"/>
  <c r="G16" i="7"/>
  <c r="G16" i="8" s="1"/>
  <c r="F16" i="7"/>
  <c r="F16" i="8" s="1"/>
  <c r="E16" i="7"/>
  <c r="E16" i="8" s="1"/>
  <c r="D16" i="7"/>
  <c r="D16" i="8" s="1"/>
  <c r="C16" i="7"/>
  <c r="C16" i="8" s="1"/>
  <c r="B16" i="7"/>
  <c r="B16" i="8" s="1"/>
  <c r="A16" i="7"/>
  <c r="A16" i="8" s="1"/>
  <c r="L15" i="7"/>
  <c r="L15" i="8" s="1"/>
  <c r="K15" i="7"/>
  <c r="K15" i="8" s="1"/>
  <c r="J15" i="7"/>
  <c r="J15" i="8" s="1"/>
  <c r="I15" i="7"/>
  <c r="I15" i="8" s="1"/>
  <c r="H15" i="7"/>
  <c r="H15" i="8" s="1"/>
  <c r="G15" i="7"/>
  <c r="G15" i="8" s="1"/>
  <c r="F15" i="7"/>
  <c r="F15" i="8" s="1"/>
  <c r="E15" i="7"/>
  <c r="E15" i="8" s="1"/>
  <c r="D15" i="7"/>
  <c r="D15" i="8" s="1"/>
  <c r="C15" i="7"/>
  <c r="C15" i="8" s="1"/>
  <c r="B15" i="7"/>
  <c r="B15" i="8" s="1"/>
  <c r="A15" i="7"/>
  <c r="A15" i="8" s="1"/>
  <c r="L14" i="7"/>
  <c r="L14" i="8" s="1"/>
  <c r="K14" i="7"/>
  <c r="K14" i="8" s="1"/>
  <c r="J14" i="7"/>
  <c r="J14" i="8" s="1"/>
  <c r="I14" i="7"/>
  <c r="I14" i="8" s="1"/>
  <c r="H14" i="7"/>
  <c r="H14" i="8" s="1"/>
  <c r="G14" i="7"/>
  <c r="G14" i="8" s="1"/>
  <c r="F14" i="7"/>
  <c r="F14" i="8" s="1"/>
  <c r="E14" i="7"/>
  <c r="E14" i="8" s="1"/>
  <c r="D14" i="7"/>
  <c r="D14" i="8" s="1"/>
  <c r="C14" i="7"/>
  <c r="C14" i="8" s="1"/>
  <c r="B14" i="7"/>
  <c r="B14" i="8" s="1"/>
  <c r="A14" i="7"/>
  <c r="A14" i="8" s="1"/>
  <c r="L13" i="7"/>
  <c r="L13" i="8" s="1"/>
  <c r="K13" i="7"/>
  <c r="K13" i="8" s="1"/>
  <c r="J13" i="7"/>
  <c r="J13" i="8" s="1"/>
  <c r="I13" i="7"/>
  <c r="I13" i="8" s="1"/>
  <c r="H13" i="7"/>
  <c r="H13" i="8" s="1"/>
  <c r="G13" i="7"/>
  <c r="G13" i="8" s="1"/>
  <c r="F13" i="7"/>
  <c r="F13" i="8" s="1"/>
  <c r="E13" i="7"/>
  <c r="E13" i="8" s="1"/>
  <c r="D13" i="7"/>
  <c r="D13" i="8" s="1"/>
  <c r="C13" i="7"/>
  <c r="C13" i="8" s="1"/>
  <c r="B13" i="7"/>
  <c r="B13" i="8" s="1"/>
  <c r="A13" i="7"/>
  <c r="A13" i="8" s="1"/>
  <c r="L12" i="7"/>
  <c r="L12" i="8" s="1"/>
  <c r="K12" i="7"/>
  <c r="K12" i="8" s="1"/>
  <c r="J12" i="7"/>
  <c r="J12" i="8" s="1"/>
  <c r="I12" i="7"/>
  <c r="I12" i="8" s="1"/>
  <c r="H12" i="7"/>
  <c r="H12" i="8" s="1"/>
  <c r="G12" i="7"/>
  <c r="G12" i="8" s="1"/>
  <c r="F12" i="7"/>
  <c r="F12" i="8" s="1"/>
  <c r="E12" i="7"/>
  <c r="E12" i="8" s="1"/>
  <c r="D12" i="7"/>
  <c r="D12" i="8" s="1"/>
  <c r="C12" i="7"/>
  <c r="C12" i="8" s="1"/>
  <c r="B12" i="7"/>
  <c r="B12" i="8" s="1"/>
  <c r="A12" i="7"/>
  <c r="A12" i="8" s="1"/>
  <c r="L11" i="7"/>
  <c r="L11" i="8" s="1"/>
  <c r="K11" i="7"/>
  <c r="K11" i="8" s="1"/>
  <c r="J11" i="7"/>
  <c r="J11" i="8" s="1"/>
  <c r="I11" i="7"/>
  <c r="I11" i="8" s="1"/>
  <c r="H11" i="7"/>
  <c r="H11" i="8" s="1"/>
  <c r="G11" i="7"/>
  <c r="G11" i="8" s="1"/>
  <c r="F11" i="7"/>
  <c r="F11" i="8" s="1"/>
  <c r="E11" i="7"/>
  <c r="E11" i="8" s="1"/>
  <c r="D11" i="7"/>
  <c r="D11" i="8" s="1"/>
  <c r="C11" i="7"/>
  <c r="C11" i="8" s="1"/>
  <c r="B11" i="7"/>
  <c r="B11" i="8" s="1"/>
  <c r="A11" i="7"/>
  <c r="A11" i="8" s="1"/>
  <c r="L10" i="7"/>
  <c r="L10" i="8" s="1"/>
  <c r="K10" i="7"/>
  <c r="K10" i="8" s="1"/>
  <c r="J10" i="7"/>
  <c r="J10" i="8" s="1"/>
  <c r="I10" i="7"/>
  <c r="I10" i="8" s="1"/>
  <c r="H10" i="7"/>
  <c r="H10" i="8" s="1"/>
  <c r="G10" i="7"/>
  <c r="G10" i="8" s="1"/>
  <c r="F10" i="7"/>
  <c r="F10" i="8" s="1"/>
  <c r="E10" i="7"/>
  <c r="E10" i="8" s="1"/>
  <c r="D10" i="7"/>
  <c r="D10" i="8" s="1"/>
  <c r="C10" i="7"/>
  <c r="C10" i="8" s="1"/>
  <c r="B10" i="7"/>
  <c r="B10" i="8" s="1"/>
  <c r="A10" i="7"/>
  <c r="A10" i="8" s="1"/>
  <c r="L9" i="7"/>
  <c r="L9" i="8" s="1"/>
  <c r="K9" i="7"/>
  <c r="K9" i="8" s="1"/>
  <c r="J9" i="7"/>
  <c r="J9" i="8" s="1"/>
  <c r="I9" i="7"/>
  <c r="I9" i="8" s="1"/>
  <c r="H9" i="7"/>
  <c r="H9" i="8" s="1"/>
  <c r="G9" i="7"/>
  <c r="G9" i="8" s="1"/>
  <c r="F9" i="7"/>
  <c r="F9" i="8" s="1"/>
  <c r="E9" i="7"/>
  <c r="E9" i="8" s="1"/>
  <c r="D9" i="7"/>
  <c r="D9" i="8" s="1"/>
  <c r="C9" i="7"/>
  <c r="C9" i="8" s="1"/>
  <c r="B9" i="7"/>
  <c r="B9" i="8" s="1"/>
  <c r="A9" i="7"/>
  <c r="A9" i="8" s="1"/>
  <c r="L8" i="7"/>
  <c r="L8" i="8" s="1"/>
  <c r="K8" i="7"/>
  <c r="K8" i="8" s="1"/>
  <c r="J8" i="7"/>
  <c r="J8" i="8" s="1"/>
  <c r="I8" i="7"/>
  <c r="I8" i="8" s="1"/>
  <c r="H8" i="7"/>
  <c r="H8" i="8" s="1"/>
  <c r="G8" i="7"/>
  <c r="G8" i="8" s="1"/>
  <c r="F8" i="7"/>
  <c r="F8" i="8" s="1"/>
  <c r="E8" i="7"/>
  <c r="E8" i="8" s="1"/>
  <c r="D8" i="7"/>
  <c r="D8" i="8" s="1"/>
  <c r="C8" i="7"/>
  <c r="C8" i="8" s="1"/>
  <c r="B8" i="7"/>
  <c r="B8" i="8" s="1"/>
  <c r="A8" i="7"/>
  <c r="A8" i="8" s="1"/>
  <c r="B18" i="4"/>
  <c r="B15" i="4"/>
  <c r="B14" i="4"/>
  <c r="B16" i="4" s="1"/>
  <c r="B18" i="3"/>
  <c r="B15" i="3"/>
  <c r="B14" i="3"/>
  <c r="B13" i="3"/>
  <c r="B12" i="3"/>
  <c r="B28" i="2"/>
  <c r="B29" i="2" s="1"/>
  <c r="B30" i="2" s="1"/>
  <c r="B31" i="2" s="1"/>
  <c r="B12" i="2"/>
  <c r="F9" i="2"/>
  <c r="F8" i="2"/>
  <c r="B13" i="2" l="1"/>
  <c r="B20" i="18"/>
  <c r="B20" i="17"/>
  <c r="B20" i="16"/>
  <c r="B17" i="11"/>
  <c r="D17" i="13" s="1"/>
  <c r="B17" i="10"/>
  <c r="C17" i="13" s="1"/>
  <c r="D17" i="11"/>
  <c r="G17" i="10"/>
  <c r="H17" i="10"/>
  <c r="I17" i="10"/>
  <c r="J17" i="11"/>
  <c r="B17" i="9"/>
  <c r="B17" i="13" s="1"/>
  <c r="C17" i="9"/>
  <c r="D17" i="9"/>
  <c r="F17" i="13" s="1"/>
  <c r="E17" i="9"/>
  <c r="F17" i="9"/>
  <c r="G17" i="9"/>
  <c r="F17" i="10"/>
  <c r="G17" i="13" s="1"/>
  <c r="H17" i="11"/>
  <c r="B17" i="12"/>
  <c r="E17" i="13" s="1"/>
  <c r="C17" i="12"/>
  <c r="D17" i="12"/>
  <c r="E17" i="12"/>
  <c r="F17" i="12"/>
  <c r="G17" i="12"/>
  <c r="H17" i="12"/>
  <c r="I17" i="13" s="1"/>
  <c r="I17" i="12"/>
  <c r="J17" i="12"/>
  <c r="K17" i="12"/>
  <c r="E17" i="10"/>
  <c r="F17" i="11"/>
  <c r="I17" i="11"/>
  <c r="K7" i="16"/>
  <c r="K7" i="17"/>
  <c r="K7" i="18"/>
  <c r="D17" i="10"/>
  <c r="G17" i="11"/>
  <c r="H17" i="13" s="1"/>
  <c r="C17" i="10"/>
  <c r="E17" i="11"/>
  <c r="C17" i="11"/>
  <c r="D16" i="10"/>
  <c r="C16" i="11"/>
  <c r="F16" i="10"/>
  <c r="G16" i="13" s="1"/>
  <c r="G16" i="11"/>
  <c r="H16" i="13" s="1"/>
  <c r="I16" i="11"/>
  <c r="F16" i="12"/>
  <c r="I16" i="10"/>
  <c r="J16" i="11"/>
  <c r="E16" i="12"/>
  <c r="B16" i="9"/>
  <c r="B16" i="13" s="1"/>
  <c r="C16" i="9"/>
  <c r="D16" i="9"/>
  <c r="F16" i="13" s="1"/>
  <c r="E16" i="9"/>
  <c r="F16" i="9"/>
  <c r="G16" i="9"/>
  <c r="E16" i="10"/>
  <c r="F16" i="11"/>
  <c r="C16" i="12"/>
  <c r="G16" i="12"/>
  <c r="H16" i="12"/>
  <c r="I16" i="13" s="1"/>
  <c r="I16" i="12"/>
  <c r="J16" i="12"/>
  <c r="K16" i="12"/>
  <c r="C16" i="10"/>
  <c r="E16" i="11"/>
  <c r="D16" i="12"/>
  <c r="J7" i="16"/>
  <c r="J7" i="17"/>
  <c r="J7" i="18"/>
  <c r="B16" i="10"/>
  <c r="C16" i="13" s="1"/>
  <c r="H16" i="11"/>
  <c r="B16" i="12"/>
  <c r="E16" i="13" s="1"/>
  <c r="D16" i="11"/>
  <c r="G16" i="10"/>
  <c r="H16" i="10"/>
  <c r="B16" i="11"/>
  <c r="D16" i="13" s="1"/>
  <c r="B15" i="10"/>
  <c r="C15" i="13" s="1"/>
  <c r="J15" i="11"/>
  <c r="G15" i="12"/>
  <c r="J15" i="12"/>
  <c r="G15" i="10"/>
  <c r="K15" i="12"/>
  <c r="D15" i="10"/>
  <c r="G15" i="11"/>
  <c r="H15" i="13" s="1"/>
  <c r="D15" i="12"/>
  <c r="F15" i="10"/>
  <c r="G15" i="13" s="1"/>
  <c r="H15" i="10"/>
  <c r="H15" i="11"/>
  <c r="I15" i="11"/>
  <c r="B15" i="9"/>
  <c r="B15" i="13" s="1"/>
  <c r="C15" i="9"/>
  <c r="D15" i="9"/>
  <c r="F15" i="13" s="1"/>
  <c r="E15" i="9"/>
  <c r="F15" i="9"/>
  <c r="G15" i="9"/>
  <c r="C15" i="10"/>
  <c r="F15" i="11"/>
  <c r="E15" i="12"/>
  <c r="D15" i="11"/>
  <c r="C15" i="12"/>
  <c r="I7" i="16"/>
  <c r="I7" i="17"/>
  <c r="I7" i="18"/>
  <c r="E15" i="11"/>
  <c r="B15" i="12"/>
  <c r="E15" i="13" s="1"/>
  <c r="I15" i="10"/>
  <c r="C15" i="11"/>
  <c r="I15" i="12"/>
  <c r="E15" i="10"/>
  <c r="B15" i="11"/>
  <c r="D15" i="13" s="1"/>
  <c r="H15" i="12"/>
  <c r="I15" i="13" s="1"/>
  <c r="F15" i="12"/>
  <c r="H14" i="11"/>
  <c r="I14" i="11"/>
  <c r="G14" i="12"/>
  <c r="J14" i="12"/>
  <c r="E14" i="10"/>
  <c r="J14" i="11"/>
  <c r="I14" i="12"/>
  <c r="F14" i="11"/>
  <c r="F14" i="12"/>
  <c r="D14" i="10"/>
  <c r="G14" i="11"/>
  <c r="H14" i="13" s="1"/>
  <c r="H14" i="12"/>
  <c r="I14" i="13" s="1"/>
  <c r="B14" i="9"/>
  <c r="B14" i="13" s="1"/>
  <c r="C14" i="9"/>
  <c r="D14" i="9"/>
  <c r="F14" i="13" s="1"/>
  <c r="E14" i="9"/>
  <c r="F14" i="9"/>
  <c r="G14" i="9"/>
  <c r="B14" i="10"/>
  <c r="C14" i="13" s="1"/>
  <c r="E14" i="11"/>
  <c r="C14" i="12"/>
  <c r="K14" i="12"/>
  <c r="I14" i="10"/>
  <c r="C14" i="11"/>
  <c r="E14" i="12"/>
  <c r="H7" i="16"/>
  <c r="H7" i="17"/>
  <c r="H7" i="18"/>
  <c r="G14" i="10"/>
  <c r="H14" i="10"/>
  <c r="D14" i="11"/>
  <c r="D14" i="12"/>
  <c r="F14" i="10"/>
  <c r="G14" i="13" s="1"/>
  <c r="B14" i="11"/>
  <c r="D14" i="13" s="1"/>
  <c r="B14" i="12"/>
  <c r="E14" i="13" s="1"/>
  <c r="C14" i="10"/>
  <c r="I13" i="10"/>
  <c r="G13" i="11"/>
  <c r="H13" i="13" s="1"/>
  <c r="I13" i="12"/>
  <c r="H13" i="11"/>
  <c r="I13" i="11"/>
  <c r="H13" i="12"/>
  <c r="I13" i="13" s="1"/>
  <c r="J13" i="12"/>
  <c r="F13" i="10"/>
  <c r="G13" i="13" s="1"/>
  <c r="H13" i="10"/>
  <c r="E13" i="11"/>
  <c r="F13" i="12"/>
  <c r="F13" i="11"/>
  <c r="G13" i="12"/>
  <c r="B13" i="9"/>
  <c r="B13" i="13" s="1"/>
  <c r="C13" i="9"/>
  <c r="D13" i="9"/>
  <c r="F13" i="13" s="1"/>
  <c r="E13" i="9"/>
  <c r="F13" i="9"/>
  <c r="G13" i="9"/>
  <c r="B13" i="10"/>
  <c r="C13" i="13" s="1"/>
  <c r="C13" i="10"/>
  <c r="D13" i="10"/>
  <c r="D13" i="11"/>
  <c r="C13" i="12"/>
  <c r="G13" i="10"/>
  <c r="B13" i="11"/>
  <c r="D13" i="13" s="1"/>
  <c r="E13" i="12"/>
  <c r="G7" i="16"/>
  <c r="G7" i="17"/>
  <c r="G7" i="18"/>
  <c r="E13" i="10"/>
  <c r="C13" i="11"/>
  <c r="D13" i="12"/>
  <c r="B13" i="12"/>
  <c r="E13" i="13" s="1"/>
  <c r="J13" i="11"/>
  <c r="K13" i="12"/>
  <c r="F12" i="11"/>
  <c r="G12" i="12"/>
  <c r="J12" i="12"/>
  <c r="H12" i="11"/>
  <c r="I12" i="12"/>
  <c r="D12" i="11"/>
  <c r="F12" i="12"/>
  <c r="E12" i="11"/>
  <c r="H12" i="12"/>
  <c r="I12" i="13" s="1"/>
  <c r="B12" i="9"/>
  <c r="B12" i="13" s="1"/>
  <c r="D12" i="9"/>
  <c r="F12" i="13" s="1"/>
  <c r="E12" i="9"/>
  <c r="F12" i="9"/>
  <c r="G12" i="9"/>
  <c r="B12" i="10"/>
  <c r="C12" i="13" s="1"/>
  <c r="C12" i="10"/>
  <c r="D12" i="10"/>
  <c r="E12" i="10"/>
  <c r="F12" i="10"/>
  <c r="G12" i="13" s="1"/>
  <c r="G12" i="10"/>
  <c r="H12" i="10"/>
  <c r="I12" i="10"/>
  <c r="C12" i="11"/>
  <c r="C12" i="12"/>
  <c r="E12" i="12"/>
  <c r="F7" i="16"/>
  <c r="F7" i="17"/>
  <c r="F7" i="18"/>
  <c r="B12" i="11"/>
  <c r="D12" i="13" s="1"/>
  <c r="D12" i="12"/>
  <c r="C12" i="9"/>
  <c r="J12" i="11"/>
  <c r="B12" i="12"/>
  <c r="E12" i="13" s="1"/>
  <c r="G12" i="11"/>
  <c r="H12" i="13" s="1"/>
  <c r="I12" i="11"/>
  <c r="K12" i="12"/>
  <c r="E11" i="11"/>
  <c r="I11" i="12"/>
  <c r="G11" i="9"/>
  <c r="G11" i="11"/>
  <c r="H11" i="13" s="1"/>
  <c r="C11" i="11"/>
  <c r="G11" i="12"/>
  <c r="D11" i="9"/>
  <c r="F11" i="13" s="1"/>
  <c r="F11" i="9"/>
  <c r="D11" i="11"/>
  <c r="H11" i="12"/>
  <c r="I11" i="13" s="1"/>
  <c r="J11" i="12"/>
  <c r="B11" i="10"/>
  <c r="C11" i="13" s="1"/>
  <c r="C11" i="10"/>
  <c r="D11" i="10"/>
  <c r="E11" i="10"/>
  <c r="F11" i="10"/>
  <c r="G11" i="13" s="1"/>
  <c r="G11" i="10"/>
  <c r="H11" i="10"/>
  <c r="I11" i="10"/>
  <c r="C11" i="9"/>
  <c r="B11" i="11"/>
  <c r="D11" i="13" s="1"/>
  <c r="D11" i="12"/>
  <c r="J11" i="11"/>
  <c r="F11" i="12"/>
  <c r="E7" i="16"/>
  <c r="E7" i="17"/>
  <c r="E7" i="18"/>
  <c r="E11" i="12"/>
  <c r="B11" i="9"/>
  <c r="B11" i="13" s="1"/>
  <c r="H11" i="11"/>
  <c r="I11" i="11"/>
  <c r="C11" i="12"/>
  <c r="E11" i="9"/>
  <c r="F11" i="11"/>
  <c r="B11" i="12"/>
  <c r="E11" i="13" s="1"/>
  <c r="K11" i="12"/>
  <c r="G10" i="9"/>
  <c r="D10" i="11"/>
  <c r="B10" i="12"/>
  <c r="E10" i="13" s="1"/>
  <c r="K10" i="12"/>
  <c r="F10" i="11"/>
  <c r="D10" i="9"/>
  <c r="F10" i="13" s="1"/>
  <c r="B10" i="11"/>
  <c r="D10" i="13" s="1"/>
  <c r="I10" i="12"/>
  <c r="C10" i="11"/>
  <c r="H10" i="12"/>
  <c r="I10" i="13" s="1"/>
  <c r="J10" i="12"/>
  <c r="E10" i="9"/>
  <c r="F10" i="9"/>
  <c r="B10" i="10"/>
  <c r="C10" i="13" s="1"/>
  <c r="C10" i="10"/>
  <c r="D10" i="10"/>
  <c r="E10" i="10"/>
  <c r="F10" i="10"/>
  <c r="G10" i="13" s="1"/>
  <c r="G10" i="10"/>
  <c r="H10" i="10"/>
  <c r="I10" i="10"/>
  <c r="E10" i="12"/>
  <c r="C10" i="9"/>
  <c r="H10" i="11"/>
  <c r="I10" i="11"/>
  <c r="G10" i="12"/>
  <c r="D7" i="16"/>
  <c r="D7" i="17"/>
  <c r="D7" i="18"/>
  <c r="B10" i="9"/>
  <c r="B10" i="13" s="1"/>
  <c r="J10" i="11"/>
  <c r="F10" i="12"/>
  <c r="G10" i="11"/>
  <c r="H10" i="13" s="1"/>
  <c r="D10" i="12"/>
  <c r="E10" i="11"/>
  <c r="C10" i="12"/>
  <c r="B9" i="9"/>
  <c r="B9" i="13" s="1"/>
  <c r="C9" i="11"/>
  <c r="C9" i="12"/>
  <c r="G9" i="9"/>
  <c r="E9" i="11"/>
  <c r="B9" i="12"/>
  <c r="E9" i="13" s="1"/>
  <c r="K9" i="12"/>
  <c r="E9" i="9"/>
  <c r="B9" i="11"/>
  <c r="D9" i="13" s="1"/>
  <c r="H9" i="12"/>
  <c r="I9" i="13" s="1"/>
  <c r="J9" i="12"/>
  <c r="B9" i="10"/>
  <c r="C9" i="13" s="1"/>
  <c r="C9" i="10"/>
  <c r="D9" i="10"/>
  <c r="E9" i="10"/>
  <c r="F9" i="10"/>
  <c r="G9" i="13" s="1"/>
  <c r="G9" i="10"/>
  <c r="H9" i="10"/>
  <c r="I9" i="10"/>
  <c r="J9" i="11"/>
  <c r="F9" i="12"/>
  <c r="G9" i="11"/>
  <c r="H9" i="13" s="1"/>
  <c r="I9" i="12"/>
  <c r="C7" i="16"/>
  <c r="C7" i="17"/>
  <c r="C7" i="18"/>
  <c r="H9" i="11"/>
  <c r="I9" i="11"/>
  <c r="G9" i="12"/>
  <c r="C9" i="9"/>
  <c r="F9" i="11"/>
  <c r="E9" i="12"/>
  <c r="D9" i="9"/>
  <c r="F9" i="13" s="1"/>
  <c r="F9" i="9"/>
  <c r="D9" i="11"/>
  <c r="D9" i="12"/>
  <c r="B8" i="11"/>
  <c r="D8" i="13" s="1"/>
  <c r="C8" i="12"/>
  <c r="D8" i="11"/>
  <c r="E8" i="12"/>
  <c r="E8" i="9"/>
  <c r="J8" i="11"/>
  <c r="B8" i="12"/>
  <c r="E8" i="13" s="1"/>
  <c r="K8" i="12"/>
  <c r="C8" i="9"/>
  <c r="F8" i="9"/>
  <c r="B8" i="10"/>
  <c r="C8" i="13" s="1"/>
  <c r="C8" i="10"/>
  <c r="D8" i="10"/>
  <c r="E8" i="10"/>
  <c r="F8" i="10"/>
  <c r="G8" i="13" s="1"/>
  <c r="G8" i="10"/>
  <c r="H8" i="10"/>
  <c r="I8" i="10"/>
  <c r="G8" i="9"/>
  <c r="H8" i="11"/>
  <c r="I8" i="11"/>
  <c r="G8" i="12"/>
  <c r="D8" i="9"/>
  <c r="F8" i="13" s="1"/>
  <c r="G8" i="11"/>
  <c r="H8" i="13" s="1"/>
  <c r="H8" i="12"/>
  <c r="I8" i="13" s="1"/>
  <c r="J8" i="12"/>
  <c r="B7" i="16"/>
  <c r="B7" i="17"/>
  <c r="B7" i="18"/>
  <c r="B8" i="9"/>
  <c r="B8" i="13" s="1"/>
  <c r="F8" i="11"/>
  <c r="I8" i="12"/>
  <c r="E8" i="11"/>
  <c r="F8" i="12"/>
  <c r="C8" i="11"/>
  <c r="D8" i="12"/>
  <c r="K32" i="17" l="1"/>
  <c r="K32" i="18"/>
  <c r="K31" i="17"/>
  <c r="K31" i="18"/>
  <c r="B17" i="15"/>
  <c r="C17" i="15"/>
  <c r="D17" i="15"/>
  <c r="E17" i="15"/>
  <c r="F17" i="15"/>
  <c r="G17" i="15"/>
  <c r="H17" i="15"/>
  <c r="I17" i="15"/>
  <c r="J17" i="15"/>
  <c r="K17" i="15"/>
  <c r="K30" i="17"/>
  <c r="K30" i="18"/>
  <c r="J31" i="17"/>
  <c r="J31" i="18"/>
  <c r="J32" i="17"/>
  <c r="J32" i="18"/>
  <c r="B16" i="15"/>
  <c r="C16" i="15"/>
  <c r="D16" i="15"/>
  <c r="E16" i="15"/>
  <c r="F16" i="15"/>
  <c r="G16" i="15"/>
  <c r="H16" i="15"/>
  <c r="I16" i="15"/>
  <c r="J16" i="15"/>
  <c r="K16" i="15"/>
  <c r="J30" i="17"/>
  <c r="J30" i="18"/>
  <c r="I31" i="17"/>
  <c r="I31" i="18"/>
  <c r="B15" i="15"/>
  <c r="C15" i="15"/>
  <c r="D15" i="15"/>
  <c r="E15" i="15"/>
  <c r="F15" i="15"/>
  <c r="G15" i="15"/>
  <c r="H15" i="15"/>
  <c r="I15" i="15"/>
  <c r="J15" i="15"/>
  <c r="K15" i="15"/>
  <c r="I30" i="17"/>
  <c r="I30" i="18"/>
  <c r="I32" i="17"/>
  <c r="I32" i="18"/>
  <c r="H32" i="17"/>
  <c r="H32" i="18"/>
  <c r="H31" i="17"/>
  <c r="H31" i="18"/>
  <c r="B14" i="15"/>
  <c r="C14" i="15"/>
  <c r="D14" i="15"/>
  <c r="E14" i="15"/>
  <c r="F14" i="15"/>
  <c r="G14" i="15"/>
  <c r="H14" i="15"/>
  <c r="I14" i="15"/>
  <c r="J14" i="15"/>
  <c r="K14" i="15"/>
  <c r="H30" i="17"/>
  <c r="H30" i="18"/>
  <c r="B13" i="15"/>
  <c r="C13" i="15"/>
  <c r="D13" i="15"/>
  <c r="E13" i="15"/>
  <c r="F13" i="15"/>
  <c r="G13" i="15"/>
  <c r="H13" i="15"/>
  <c r="I13" i="15"/>
  <c r="J13" i="15"/>
  <c r="K13" i="15"/>
  <c r="G30" i="17"/>
  <c r="G30" i="18"/>
  <c r="G31" i="17"/>
  <c r="G31" i="18"/>
  <c r="G32" i="17"/>
  <c r="G32" i="18"/>
  <c r="B12" i="15"/>
  <c r="C12" i="15"/>
  <c r="D12" i="15"/>
  <c r="E12" i="15"/>
  <c r="F12" i="15"/>
  <c r="G12" i="15"/>
  <c r="H12" i="15"/>
  <c r="I12" i="15"/>
  <c r="J12" i="15"/>
  <c r="K12" i="15"/>
  <c r="F30" i="17"/>
  <c r="F30" i="18"/>
  <c r="F31" i="17"/>
  <c r="F31" i="18"/>
  <c r="F32" i="17"/>
  <c r="F32" i="18"/>
  <c r="B11" i="15"/>
  <c r="C11" i="15"/>
  <c r="D11" i="15"/>
  <c r="E11" i="15"/>
  <c r="F11" i="15"/>
  <c r="G11" i="15"/>
  <c r="H11" i="15"/>
  <c r="I11" i="15"/>
  <c r="J11" i="15"/>
  <c r="K11" i="15"/>
  <c r="E30" i="17"/>
  <c r="E30" i="18"/>
  <c r="E31" i="17"/>
  <c r="E31" i="18"/>
  <c r="E32" i="17"/>
  <c r="E32" i="18"/>
  <c r="B10" i="15"/>
  <c r="C10" i="15"/>
  <c r="D10" i="15"/>
  <c r="E10" i="15"/>
  <c r="F10" i="15"/>
  <c r="G10" i="15"/>
  <c r="H10" i="15"/>
  <c r="I10" i="15"/>
  <c r="J10" i="15"/>
  <c r="K10" i="15"/>
  <c r="D30" i="17"/>
  <c r="D30" i="18"/>
  <c r="D31" i="17"/>
  <c r="D31" i="18"/>
  <c r="D32" i="17"/>
  <c r="D32" i="18"/>
  <c r="B9" i="15"/>
  <c r="C9" i="15"/>
  <c r="D9" i="15"/>
  <c r="E9" i="15"/>
  <c r="F9" i="15"/>
  <c r="G9" i="15"/>
  <c r="H9" i="15"/>
  <c r="I9" i="15"/>
  <c r="J9" i="15"/>
  <c r="K9" i="15"/>
  <c r="C30" i="17"/>
  <c r="C30" i="18"/>
  <c r="C31" i="17"/>
  <c r="C31" i="18"/>
  <c r="C32" i="17"/>
  <c r="C32" i="18"/>
  <c r="B8" i="15"/>
  <c r="C8" i="15"/>
  <c r="D8" i="15"/>
  <c r="E8" i="15"/>
  <c r="F8" i="15"/>
  <c r="G8" i="15"/>
  <c r="H8" i="15"/>
  <c r="I8" i="15"/>
  <c r="J8" i="15"/>
  <c r="K8" i="15"/>
  <c r="B30" i="17"/>
  <c r="B30" i="18"/>
  <c r="B31" i="17"/>
  <c r="B31" i="18"/>
  <c r="B32" i="17"/>
  <c r="B32" i="18"/>
  <c r="K10" i="16" l="1"/>
  <c r="K11" i="16" s="1"/>
  <c r="K10" i="17"/>
  <c r="K11" i="17" s="1"/>
  <c r="K10" i="18"/>
  <c r="K11" i="18" s="1"/>
  <c r="J10" i="16"/>
  <c r="J11" i="16" s="1"/>
  <c r="J10" i="17"/>
  <c r="J11" i="17" s="1"/>
  <c r="J10" i="18"/>
  <c r="J11" i="18" s="1"/>
  <c r="I10" i="16"/>
  <c r="I11" i="16" s="1"/>
  <c r="I10" i="17"/>
  <c r="I11" i="17" s="1"/>
  <c r="I10" i="18"/>
  <c r="I11" i="18" s="1"/>
  <c r="H10" i="16"/>
  <c r="H11" i="16" s="1"/>
  <c r="H10" i="17"/>
  <c r="H11" i="17" s="1"/>
  <c r="H10" i="18"/>
  <c r="H11" i="18" s="1"/>
  <c r="G10" i="16"/>
  <c r="G11" i="16" s="1"/>
  <c r="G10" i="17"/>
  <c r="G11" i="17" s="1"/>
  <c r="G10" i="18"/>
  <c r="G11" i="18" s="1"/>
  <c r="F10" i="16"/>
  <c r="F11" i="16" s="1"/>
  <c r="F10" i="17"/>
  <c r="F11" i="17" s="1"/>
  <c r="F10" i="18"/>
  <c r="F11" i="18" s="1"/>
  <c r="E10" i="16"/>
  <c r="E11" i="16" s="1"/>
  <c r="E10" i="17"/>
  <c r="E11" i="17" s="1"/>
  <c r="E10" i="18"/>
  <c r="E11" i="18" s="1"/>
  <c r="D10" i="16"/>
  <c r="D11" i="16" s="1"/>
  <c r="D10" i="17"/>
  <c r="D11" i="17" s="1"/>
  <c r="D10" i="18"/>
  <c r="D11" i="18" s="1"/>
  <c r="B20" i="15"/>
  <c r="C10" i="16"/>
  <c r="C11" i="16" s="1"/>
  <c r="C10" i="17"/>
  <c r="C11" i="17" s="1"/>
  <c r="C10" i="18"/>
  <c r="C11" i="18" s="1"/>
  <c r="B10" i="16"/>
  <c r="B10" i="17"/>
  <c r="B10" i="18"/>
  <c r="B26" i="18"/>
  <c r="B27" i="17"/>
  <c r="B25" i="17"/>
  <c r="B25" i="18"/>
  <c r="B26" i="17"/>
  <c r="B27" i="18"/>
  <c r="B11" i="16" l="1"/>
  <c r="B17" i="16"/>
  <c r="B18" i="16" s="1"/>
  <c r="B11" i="17"/>
  <c r="B17" i="17"/>
  <c r="B11" i="18"/>
  <c r="B17" i="18"/>
  <c r="B19" i="16" l="1"/>
  <c r="B21" i="16"/>
  <c r="B18" i="17"/>
  <c r="B34" i="17"/>
  <c r="B18" i="18"/>
  <c r="B34" i="18"/>
  <c r="B19" i="17" l="1"/>
  <c r="B21" i="17"/>
  <c r="B19" i="18"/>
  <c r="B21" i="18"/>
</calcChain>
</file>

<file path=xl/sharedStrings.xml><?xml version="1.0" encoding="utf-8"?>
<sst xmlns="http://schemas.openxmlformats.org/spreadsheetml/2006/main" count="551" uniqueCount="253">
  <si>
    <t>Lecture 07 | Worked Excel guide</t>
  </si>
  <si>
    <t>Use the small lecture examples first. Then estimate inputs from the embedded monthly dataset and reproduce the larger Solver exercises.</t>
  </si>
  <si>
    <t>Learning route</t>
  </si>
  <si>
    <t>01 Factor Examples</t>
  </si>
  <si>
    <t>Reproduce Eta expected/realized returns and Theta alpha.</t>
  </si>
  <si>
    <t>02 APT Solver</t>
  </si>
  <si>
    <t>Construct a scaled, zero-investment arbitrage.</t>
  </si>
  <si>
    <t>03 Hedge Solver</t>
  </si>
  <si>
    <t>Choose the hedge and account for borrowing.</t>
  </si>
  <si>
    <t>04 Prices</t>
  </si>
  <si>
    <t>Inspect the common stock-price snapshot.</t>
  </si>
  <si>
    <t>05 Factors</t>
  </si>
  <si>
    <t>Keep factor definitions and return units explicit.</t>
  </si>
  <si>
    <t>06 Returns</t>
  </si>
  <si>
    <t>Calculate stock total returns.</t>
  </si>
  <si>
    <t>07 Excess</t>
  </si>
  <si>
    <t>Subtract RF from stocks.</t>
  </si>
  <si>
    <t>08 CAPM</t>
  </si>
  <si>
    <t>Estimate a one-factor benchmark.</t>
  </si>
  <si>
    <t>09 FF3</t>
  </si>
  <si>
    <t>Estimate market, size and value exposures.</t>
  </si>
  <si>
    <t>10 Carhart4</t>
  </si>
  <si>
    <t>Add momentum.</t>
  </si>
  <si>
    <t>11 FF5</t>
  </si>
  <si>
    <t>Estimate the five-factor specification.</t>
  </si>
  <si>
    <t>12 Model Comparison</t>
  </si>
  <si>
    <t>Compare alpha and fit.</t>
  </si>
  <si>
    <t>13 Factor Cov</t>
  </si>
  <si>
    <t>Estimate covariance among FF3 factors.</t>
  </si>
  <si>
    <t>14 FF3 Cov</t>
  </si>
  <si>
    <t>Build multifactor stock covariance.</t>
  </si>
  <si>
    <t>15 FF3 Solver</t>
  </si>
  <si>
    <t>Maximize long-only Sharpe ratio.</t>
  </si>
  <si>
    <t>16 Exposure Solver</t>
  </si>
  <si>
    <t>Minimize variance with three exposure targets.</t>
  </si>
  <si>
    <t>17 Mimic Solver</t>
  </si>
  <si>
    <t>Construct a factor-mimicking portfolio with explicit financing.</t>
  </si>
  <si>
    <t>Working with the workbook</t>
  </si>
  <si>
    <t>Gold = editable assumptions or Solver decisions; green = calculated results; gray = intermediate formulas. Source sheets contain the fixed historical snapshot.</t>
  </si>
  <si>
    <t>Use desktop Excel with Solver. Windows: File &gt; Options &gt; Add-ins &gt; Manage Excel Add-ins &gt; Go &gt; Solver Add-in. Mac: Tools &gt; Excel Add-ins &gt; Solver Add-in.</t>
  </si>
  <si>
    <t>Every Solver exercise lists its objective, decisions, constraints and method. Worked solutions are saved; reset the decision cells to the stated starting values and solve again.</t>
  </si>
  <si>
    <t>Historical sample: 120 common monthly returns, January 2016 to December 2025. The 121 adjusted-price observations include December 2015.</t>
  </si>
  <si>
    <t>Historical optimization uses monthly excess-return means and covariances. Annualized mean = 12 times monthly mean; annualized volatility = SQRT(12) times monthly volatility. Small examples keep the original lecture period.</t>
  </si>
  <si>
    <t>Historical means are in-sample estimates for this exercise. Editable return assumptions are separate. A solved in-sample portfolio is not a forecast or evidence of future performance.</t>
  </si>
  <si>
    <t>All data and formulas are in this file. No internet, Python or macros are required. Solver settings are saved on each exercise sheet and also listed in its instructions.</t>
  </si>
  <si>
    <t>After changing prices, assumptions or constraints, formulas recalculate, but optimization weights and frontier examples must be solved again.</t>
  </si>
  <si>
    <t>Sources and data conventions</t>
  </si>
  <si>
    <t>Stocks: AMD, AMZN, F, JPM, NVDA, PFE, TGT, XOM, WMT, VZ. Lecture 6 market benchmark: S&amp;P 500 total-return index (^SP500TR). Prices are USD or index points.</t>
  </si>
  <si>
    <t>Yahoo Finance via yfinance: daily auto_adjust=True Close; retain the final available trading observation per calendar month. Returns are calculated in Excel.</t>
  </si>
  <si>
    <t>French monthly files provide RF and factor returns. Original percent values are divided by 100. FF3 and FF5 retain their own market, SMB and HML series.</t>
  </si>
  <si>
    <t>Retrieved (UTC): 2026-10-03T06:52:46.266841+00:00. Dates denote calendar month ends. No missing observations are filled.</t>
  </si>
  <si>
    <t>French library: https://mba.tuck.dartmouth.edu/pages/faculty/ken.french/data_library.html</t>
  </si>
  <si>
    <t>Yahoo history: https://finance.yahoo.com/quote/AMD/history/ (and the corresponding ticker page for each asset).</t>
  </si>
  <si>
    <t>Solver reference: https://support.microsoft.com/en-us/excel/define-and-solve-a-problem-by-using-solver</t>
  </si>
  <si>
    <t>Factor inputs | expected returns, surprises and alpha</t>
  </si>
  <si>
    <t>Back to guide</t>
  </si>
  <si>
    <t>Lecture 7, Questions 4 and 5. Annual inputs in the Eta example and monthly inputs in the Theta example are kept separate.</t>
  </si>
  <si>
    <t>Eta: annual risk-free rate</t>
  </si>
  <si>
    <t>Factor</t>
  </si>
  <si>
    <t>Annual premium</t>
  </si>
  <si>
    <t>Eta loading</t>
  </si>
  <si>
    <t>Forecast</t>
  </si>
  <si>
    <t>Actual</t>
  </si>
  <si>
    <t>Surprise</t>
  </si>
  <si>
    <t>GDP growth</t>
  </si>
  <si>
    <t>Inflation</t>
  </si>
  <si>
    <t>Eta expected annual return</t>
  </si>
  <si>
    <t>Eta realized annual return</t>
  </si>
  <si>
    <t>Zero idiosyncratic surprise is assumed. Inflation has a negative expected premium but a positive realized surprise; these enter different calculations.</t>
  </si>
  <si>
    <t>Theta | monthly factor benchmark</t>
  </si>
  <si>
    <t>Series</t>
  </si>
  <si>
    <t>Monthly mean</t>
  </si>
  <si>
    <t>Theta loading</t>
  </si>
  <si>
    <t>Market excess return</t>
  </si>
  <si>
    <t>SMB</t>
  </si>
  <si>
    <t>HML</t>
  </si>
  <si>
    <t>Monthly RF</t>
  </si>
  <si>
    <t>Theta total return after fees</t>
  </si>
  <si>
    <t>Benchmark excess return</t>
  </si>
  <si>
    <t>Benchmark total return</t>
  </si>
  <si>
    <t>Monthly alpha</t>
  </si>
  <si>
    <t>Arithmetic annualized alpha</t>
  </si>
  <si>
    <t>How to recreate this output in Excel</t>
  </si>
  <si>
    <t>1. For Eta, multiply each premium by its loading and add RF. Expected return = 8.50%.</t>
  </si>
  <si>
    <t>2. Surprise = actual - forecast. Add loading x surprise to expected return. Realized return = 7.10%.</t>
  </si>
  <si>
    <t>3. For Theta, SUMPRODUCT of factor means and loadings gives benchmark excess return = 0.70%; total return = 0.90%.</t>
  </si>
  <si>
    <t>4. Monthly alpha = Theta total return - benchmark total return = -0.15%; arithmetic annualized alpha = -1.80%.</t>
  </si>
  <si>
    <t>5. Distinguish expected compensation, realized shocks and regression alpha before estimating historical inputs.</t>
  </si>
  <si>
    <t>Delta, Epsilon and Zeta | an arbitrage trade</t>
  </si>
  <si>
    <t>Lecture 7, Question 3. Delta and Epsilon have zero residual risk. Zeta is risk-free. Dollar positions are positive for purchases and negative for shorts or borrowing.</t>
  </si>
  <si>
    <t>Input</t>
  </si>
  <si>
    <t>Delta</t>
  </si>
  <si>
    <t>Epsilon</t>
  </si>
  <si>
    <t>Zeta</t>
  </si>
  <si>
    <t>Factor beta</t>
  </si>
  <si>
    <t>Expected one-year return</t>
  </si>
  <si>
    <t>Dollar positions</t>
  </si>
  <si>
    <t>Delta implied factor premium</t>
  </si>
  <si>
    <t>Epsilon implied factor premium</t>
  </si>
  <si>
    <t>Net initial investment</t>
  </si>
  <si>
    <t>Dollar factor exposure</t>
  </si>
  <si>
    <t>Certain one-year profit</t>
  </si>
  <si>
    <t>1. Open Data &gt; Solver. Set Objective: B18; choose Max.</t>
  </si>
  <si>
    <t>2. By Changing Variable Cells: B10:D10. Gold cells are the decisions.</t>
  </si>
  <si>
    <t>3. Add constraints: B14 = 0; B15 = 0; B10 = -100.</t>
  </si>
  <si>
    <t>4. Select Simplex LP. Clear "Make Unconstrained Variables Non-Negative"; use the explicit bounds above.</t>
  </si>
  <si>
    <t>5. In Options, enable Automatic Scaling; use constraint precision 0.00000001 and convergence 0.00000001 for GRG. Select Solve, then Keep Solver Solution.</t>
  </si>
  <si>
    <t>6. Saved cells contain a worked solution. Reset the decisions to the starting values below to reproduce it. Rerun Solver after changing assumptions.</t>
  </si>
  <si>
    <t>7. Starting positions: Delta -100, Epsilon +100, Zeta 0. Factor exposure is initially nonzero.</t>
  </si>
  <si>
    <t>8. Fixing Delta at -100 sets the scale. Without a scale restriction, ideal arbitrage can be expanded without limit.</t>
  </si>
  <si>
    <t>9. Check: short $100 Delta, buy $150 Epsilon, borrow $50. Profit = $2. Percentage return on zero net investment is undefined.</t>
  </si>
  <si>
    <t>Iota and Kappa | financing a factor hedge</t>
  </si>
  <si>
    <t>Lecture 7, Question 6. Retain $100 of Iota and finance Kappa by borrowing. The loan has zero market and interest-rate exposures.</t>
  </si>
  <si>
    <t>Iota</t>
  </si>
  <si>
    <t>Kappa</t>
  </si>
  <si>
    <t>Risk-free loan</t>
  </si>
  <si>
    <t>Market beta</t>
  </si>
  <si>
    <t>Interest-rate beta</t>
  </si>
  <si>
    <t>Net equity</t>
  </si>
  <si>
    <t>Dollar interest-rate exposure</t>
  </si>
  <si>
    <t>Market beta on net equity</t>
  </si>
  <si>
    <t>Kappa purchase amount</t>
  </si>
  <si>
    <t>1. Open Data &gt; Solver. Set Objective: B18; choose Min.</t>
  </si>
  <si>
    <t>2. By Changing Variable Cells: C10:D10. Gold cells are the decisions.</t>
  </si>
  <si>
    <t>3. Add constraints: B14 = 100; B15 = 0; C10 &gt;= 0; D10 &lt;= 0.</t>
  </si>
  <si>
    <t>7. Start at zero in C10:D10. B10 stays fixed at $100 and is excluded from the changing cells.</t>
  </si>
  <si>
    <t>8. Equality constraints determine hedge and financing. Minimizing purchase amount provides a linear objective.</t>
  </si>
  <si>
    <t>9. Check: Kappa $300; loan -$300; equity $100; market beta 1.70. Divide exposure by net equity, not gross assets of $400.</t>
  </si>
  <si>
    <t>Monthly adjusted closing prices</t>
  </si>
  <si>
    <t>Fixed observations. Adjusted stock prices incorporate splits and dividends; the market column is a total-return index.</t>
  </si>
  <si>
    <t>Month</t>
  </si>
  <si>
    <t>AMD</t>
  </si>
  <si>
    <t>AMZN</t>
  </si>
  <si>
    <t>F</t>
  </si>
  <si>
    <t>JPM</t>
  </si>
  <si>
    <t>NVDA</t>
  </si>
  <si>
    <t>PFE</t>
  </si>
  <si>
    <t>TGT</t>
  </si>
  <si>
    <t>XOM</t>
  </si>
  <si>
    <t>WMT</t>
  </si>
  <si>
    <t>VZ</t>
  </si>
  <si>
    <t>^SP500TR</t>
  </si>
  <si>
    <t>Monthly factor returns and risk-free return</t>
  </si>
  <si>
    <t>FF3 and Carhart use C:F. FF5 uses G:K. RF is shared after checking both source files. Values are decimal returns.</t>
  </si>
  <si>
    <t>RF</t>
  </si>
  <si>
    <t>MKT (FF3)</t>
  </si>
  <si>
    <t>SMB (FF3)</t>
  </si>
  <si>
    <t>HML (FF3)</t>
  </si>
  <si>
    <t>MOM</t>
  </si>
  <si>
    <t>MKT (FF5)</t>
  </si>
  <si>
    <t>SMB (FF5)</t>
  </si>
  <si>
    <t>HML (FF5)</t>
  </si>
  <si>
    <t>RMW</t>
  </si>
  <si>
    <t>CMA</t>
  </si>
  <si>
    <t>Monthly total returns</t>
  </si>
  <si>
    <t>This month adjusted close / previous month adjusted close - 1. The December 2015 price produces the first monthly return.</t>
  </si>
  <si>
    <t>1. In B8 enter ='04 Prices'!B9/'04 Prices'!B8-1. Copy across to L8 and down to row 127.</t>
  </si>
  <si>
    <t>2. Column L is the S&amp;P 500 total-return index return; it is distinct from the French broad-market factor.</t>
  </si>
  <si>
    <t>Monthly excess returns</t>
  </si>
  <si>
    <t>Subtract matching monthly RF from stock and S&amp;P 500 total returns. French MKT and long-short factors are already factor returns; do not subtract RF from them.</t>
  </si>
  <si>
    <t>1. In B8 enter ='06 Returns'!B8-'05 Factors'!$B8. Copy across to L8 and down to row 127.</t>
  </si>
  <si>
    <t>2. Use these excess returns consistently for regressions and risk estimates. All assets have 120 observations.</t>
  </si>
  <si>
    <t>CAPM | one market factor</t>
  </si>
  <si>
    <t>Same 120 monthly observations for every asset. LINEST includes an intercept. Alpha and its standard error are monthly.</t>
  </si>
  <si>
    <t>Asset</t>
  </si>
  <si>
    <t>MKT</t>
  </si>
  <si>
    <t>R-squared</t>
  </si>
  <si>
    <t>Residual variance</t>
  </si>
  <si>
    <t>N</t>
  </si>
  <si>
    <t>Alpha SE</t>
  </si>
  <si>
    <t>1. Use stock excess returns on 07 Excess as Y and '05 Factors'!C8:C127 as X.</t>
  </si>
  <si>
    <t>2. LINEST(Y,X,TRUE,TRUE) estimates 1 factor coefficients and an intercept. INDEX selects individual results, so use ordinary Enter.</t>
  </si>
  <si>
    <t>3. LINEST returns slopes in reverse X-column order, followed by the intercept. This table restores the original factor order.</t>
  </si>
  <si>
    <t>4. Alpha = INDEX(LINEST(Y,X,TRUE,TRUE),1,2). Its standard error is in row 2 of the LINEST result, in the same column.</t>
  </si>
  <si>
    <t>5. Residual variance = residual sum of squares / degrees of freedom, or SSE/(N - number of factors - 1).</t>
  </si>
  <si>
    <t>6. Alternative: Data &gt; Data Analysis &gt; Regression; select the same Y and X ranges and leave Constant is Zero unchecked.</t>
  </si>
  <si>
    <t>7. Positive alpha alone does not establish skill. Compare model definitions and sampling uncertainty; Alpha SE measures that uncertainty.</t>
  </si>
  <si>
    <t>Fama-French | three factors</t>
  </si>
  <si>
    <t>1. Use stock excess returns on 07 Excess as Y and '05 Factors'!C8:E127 as X.</t>
  </si>
  <si>
    <t>2. LINEST(Y,X,TRUE,TRUE) estimates 3 factor coefficients and an intercept. INDEX selects individual results, so use ordinary Enter.</t>
  </si>
  <si>
    <t>4. Alpha = INDEX(LINEST(Y,X,TRUE,TRUE),1,4). Its standard error is in row 2 of the LINEST result, in the same column.</t>
  </si>
  <si>
    <t>Carhart | four factors</t>
  </si>
  <si>
    <t>1. Use stock excess returns on 07 Excess as Y and '05 Factors'!C8:F127 as X.</t>
  </si>
  <si>
    <t>2. LINEST(Y,X,TRUE,TRUE) estimates 4 factor coefficients and an intercept. INDEX selects individual results, so use ordinary Enter.</t>
  </si>
  <si>
    <t>4. Alpha = INDEX(LINEST(Y,X,TRUE,TRUE),1,5). Its standard error is in row 2 of the LINEST result, in the same column.</t>
  </si>
  <si>
    <t>Fama-French | five factors</t>
  </si>
  <si>
    <t>1. Use stock excess returns on 07 Excess as Y and '05 Factors'!G8:K127 as X.</t>
  </si>
  <si>
    <t>2. LINEST(Y,X,TRUE,TRUE) estimates 5 factor coefficients and an intercept. INDEX selects individual results, so use ordinary Enter.</t>
  </si>
  <si>
    <t>4. Alpha = INDEX(LINEST(Y,X,TRUE,TRUE),1,6). Its standard error is in row 2 of the LINEST result, in the same column.</t>
  </si>
  <si>
    <t>Compare factor models on the same sample</t>
  </si>
  <si>
    <t>All models use the same 120 months and include an intercept. FF5 retains its own factor definitions, including SMB.</t>
  </si>
  <si>
    <t>CAPM alpha</t>
  </si>
  <si>
    <t>FF3 alpha</t>
  </si>
  <si>
    <t>Carhart alpha</t>
  </si>
  <si>
    <t>FF5 alpha</t>
  </si>
  <si>
    <t>CAPM R2</t>
  </si>
  <si>
    <t>FF3 R2</t>
  </si>
  <si>
    <t>Carhart R2</t>
  </si>
  <si>
    <t>FF5 R2</t>
  </si>
  <si>
    <t>Compare alphas with their standard errors on the estimation sheets. Higher R-squared or smaller alpha alone does not prove a superior expected-return model.</t>
  </si>
  <si>
    <t>1. Link alpha and R-squared from each model rather than retyping them.</t>
  </si>
  <si>
    <t>2. Compare the same asset across models. CAPM, FF3 and Carhart here use the French market factor; Lecture 6 uses S&amp;P 500 excess returns.</t>
  </si>
  <si>
    <t>3. Differences from Lecture 6 can reflect both factor specification and market-proxy choice.</t>
  </si>
  <si>
    <t>FF3 factor covariance matrix</t>
  </si>
  <si>
    <t>Monthly sample covariance of MKT, SMB and HML. Cross-factor covariances are retained.</t>
  </si>
  <si>
    <t>1. Use FF3 columns C:E on 05 Factors. Apply COVARIANCE.S to every pair.</t>
  </si>
  <si>
    <t>2. Do not assume empirical factors are uncorrelated. Include off-diagonal entries in multifactor risk.</t>
  </si>
  <si>
    <t>FF3-implied stock covariance matrix</t>
  </si>
  <si>
    <t>Monthly excess-return covariance matrix. Asset order matches the weight cells on the Solver sheets.</t>
  </si>
  <si>
    <t>Largest symmetry difference</t>
  </si>
  <si>
    <t>1. The diagonal contains variances; off-diagonal cells are covariances.</t>
  </si>
  <si>
    <t>2. Keep the same asset order in expected returns, weights and both axes of the covariance matrix.</t>
  </si>
  <si>
    <t>Stock covariance = exposures x factor covariance x exposures transposed, plus residual variance on the diagonal. Cross-stock residual covariances are assumed zero; residual risk remains.</t>
  </si>
  <si>
    <t>Ten stocks | optimize with multifactor risk</t>
  </si>
  <si>
    <t>Monthly inputs. Gold return assumptions initially equal historical excess-return means. Saved weights solve the stated problem for this snapshot.</t>
  </si>
  <si>
    <t>Historical mean excess return</t>
  </si>
  <si>
    <t>Expected excess-return input</t>
  </si>
  <si>
    <t>Portfolio weights</t>
  </si>
  <si>
    <t>Covariance times weights</t>
  </si>
  <si>
    <t>Variance contribution</t>
  </si>
  <si>
    <t>Sum of risky weights</t>
  </si>
  <si>
    <t>Expected monthly excess return</t>
  </si>
  <si>
    <t>Monthly variance</t>
  </si>
  <si>
    <t>Monthly standard deviation</t>
  </si>
  <si>
    <t>Monthly Sharpe ratio</t>
  </si>
  <si>
    <t>Annualized excess return</t>
  </si>
  <si>
    <t>Annualized standard deviation</t>
  </si>
  <si>
    <t>Risk-free weight</t>
  </si>
  <si>
    <t>1. Open Data &gt; Solver. Set Objective: B19; choose Max.</t>
  </si>
  <si>
    <t>2. By Changing Variable Cells: B9:K9. Gold cells are the decisions.</t>
  </si>
  <si>
    <t>3. Add constraints: B15 = 1; B9:K9 &gt;= 0; B9:K9 &lt;= 1.</t>
  </si>
  <si>
    <t>4. Select GRG Nonlinear. Clear "Make Unconstrained Variables Non-Negative"; use the explicit bounds above.</t>
  </si>
  <si>
    <t>7. Starting weights: 10% per stock. Long-only bounds are 0 to 1, with weights summing to 1.</t>
  </si>
  <si>
    <t>8. For global minimum variance, set objective B17 to Min; keep the same constraints.</t>
  </si>
  <si>
    <t>9. For a target return, minimize B17 and add B16 equal to the chosen monthly excess-return target.</t>
  </si>
  <si>
    <t>10. Edit B8:K8 to change expected returns and solve again. Annualized volatility uses the square-root-of-time convention.</t>
  </si>
  <si>
    <t>Minimum risk | market beta 1, size and value neutral</t>
  </si>
  <si>
    <t>Exposure</t>
  </si>
  <si>
    <t>Achieved</t>
  </si>
  <si>
    <t>Target</t>
  </si>
  <si>
    <t>FF3 beta</t>
  </si>
  <si>
    <t>Variance x 10,000</t>
  </si>
  <si>
    <t>1. Open Data &gt; Solver. Set Objective: B34; choose Min.</t>
  </si>
  <si>
    <t>3. Add constraints: B15 = 1; B9:K9 &gt;= -0.5; B9:K9 &lt;= 0.5; B25 = C25; B26 = C26; B27 = C27.</t>
  </si>
  <si>
    <t>7. Starting weights: 10% per asset. Exposure targets may initially be unmet; Solver adjusts weights to satisfy them.</t>
  </si>
  <si>
    <t>8. The objective rescales variance by 10,000 for numerical accuracy; this does not change the minimizing weights.</t>
  </si>
  <si>
    <t>9. Factor exposures are estimated. Neutralizing them leaves residual risk; this is not a risk-free arbitrage.</t>
  </si>
  <si>
    <t>10. Risk-free weight = 1 - sum of risky weights. Negative means borrowing; positive means lending. The risk-free asset has zero excess return and zero factor exposure.</t>
  </si>
  <si>
    <t>Weights sum to one. Each stock is limited to -50% to +50% of net equity. These are stated exercise constraints; change them deliberately to explore alternatives.</t>
  </si>
  <si>
    <t>Construct a size-factor-mimicking portfolio</t>
  </si>
  <si>
    <t>3. Add constraints: B9:K9 &gt;= -2; B9:K9 &lt;= 2; B25 = C25; B26 = C26; B27 = C27.</t>
  </si>
  <si>
    <t>Targets: MKT=0, SMB=1, HML=0. Do not impose sum of risky weights = 1: the risk-free weight completes financing. Individual risky positions are bounded at -200% to +200% of net equity.</t>
  </si>
  <si>
    <t>With exposures fixed, minimizing total variance also minimizes residual variance. This ten-stock portfolio approximates factor exposure while retaining residual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</si>
</sst>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%;[Red]\(0.00%\);0.00%"/>
    <numFmt numFmtId="165" formatCode="0.0000;[Red]\(0.0000\);0.0000"/>
    <numFmt numFmtId="166" formatCode="\$#,##0.00;[Red]\(\$#,##0.00\)"/>
    <numFmt numFmtId="167" formatCode="\$0.00"/>
    <numFmt numFmtId="168" formatCode="mmm\ yyyy"/>
    <numFmt numFmtId="169" formatCode="0.0000"/>
    <numFmt numFmtId="170" formatCode="0.000000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ptos"/>
      <family val="2"/>
    </font>
    <font>
      <sz val="10"/>
      <color rgb="FF364152"/>
      <name val="Aptos"/>
      <family val="2"/>
    </font>
    <font>
      <sz val="12"/>
      <color theme="10"/>
      <name val="Calibri"/>
      <family val="2"/>
      <scheme val="minor"/>
    </font>
    <font>
      <sz val="10"/>
      <color rgb="FF202A35"/>
      <name val="Aptos"/>
      <family val="2"/>
    </font>
    <font>
      <b/>
      <sz val="10"/>
      <color rgb="FFFFFFFF"/>
      <name val="Aptos"/>
      <family val="2"/>
    </font>
    <font>
      <sz val="10"/>
      <color rgb="FF17365D"/>
      <name val="Aptos"/>
      <family val="2"/>
    </font>
    <font>
      <sz val="1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2F4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168B80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3" fillId="0" borderId="0" xfId="1"/>
    <xf numFmtId="0" fontId="4" fillId="3" borderId="0" xfId="0" applyFont="1" applyFill="1" applyAlignment="1">
      <alignment vertical="center" wrapText="1"/>
    </xf>
    <xf numFmtId="164" fontId="4" fillId="5" borderId="0" xfId="0" applyNumberFormat="1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164" fontId="6" fillId="5" borderId="0" xfId="0" applyNumberFormat="1" applyFont="1" applyFill="1" applyAlignment="1">
      <alignment vertical="center" wrapText="1"/>
    </xf>
    <xf numFmtId="165" fontId="6" fillId="5" borderId="0" xfId="0" applyNumberFormat="1" applyFont="1" applyFill="1" applyAlignment="1">
      <alignment vertical="center" wrapText="1"/>
    </xf>
    <xf numFmtId="164" fontId="4" fillId="3" borderId="0" xfId="0" applyNumberFormat="1" applyFont="1" applyFill="1" applyAlignment="1">
      <alignment vertical="center" wrapText="1"/>
    </xf>
    <xf numFmtId="164" fontId="4" fillId="4" borderId="0" xfId="0" applyNumberFormat="1" applyFont="1" applyFill="1" applyAlignment="1">
      <alignment vertical="center" wrapText="1"/>
    </xf>
    <xf numFmtId="166" fontId="6" fillId="5" borderId="0" xfId="0" applyNumberFormat="1" applyFont="1" applyFill="1" applyAlignment="1">
      <alignment vertical="center" wrapText="1"/>
    </xf>
    <xf numFmtId="167" fontId="4" fillId="4" borderId="0" xfId="0" applyNumberFormat="1" applyFont="1" applyFill="1" applyAlignment="1">
      <alignment vertical="center" wrapText="1"/>
    </xf>
    <xf numFmtId="165" fontId="4" fillId="4" borderId="0" xfId="0" applyNumberFormat="1" applyFont="1" applyFill="1" applyAlignment="1">
      <alignment vertical="center" wrapText="1"/>
    </xf>
    <xf numFmtId="166" fontId="4" fillId="7" borderId="0" xfId="0" applyNumberFormat="1" applyFont="1" applyFill="1" applyAlignment="1">
      <alignment vertical="center" wrapText="1"/>
    </xf>
    <xf numFmtId="168" fontId="4" fillId="7" borderId="0" xfId="0" applyNumberFormat="1" applyFont="1" applyFill="1" applyAlignment="1">
      <alignment vertical="center" wrapText="1"/>
    </xf>
    <xf numFmtId="169" fontId="4" fillId="7" borderId="0" xfId="0" applyNumberFormat="1" applyFont="1" applyFill="1" applyAlignment="1">
      <alignment vertical="center" wrapText="1"/>
    </xf>
    <xf numFmtId="164" fontId="4" fillId="7" borderId="0" xfId="0" applyNumberFormat="1" applyFont="1" applyFill="1" applyAlignment="1">
      <alignment vertical="center" wrapText="1"/>
    </xf>
    <xf numFmtId="168" fontId="4" fillId="3" borderId="0" xfId="0" applyNumberFormat="1" applyFont="1" applyFill="1" applyAlignment="1">
      <alignment vertical="center" wrapText="1"/>
    </xf>
    <xf numFmtId="165" fontId="4" fillId="3" borderId="0" xfId="0" applyNumberFormat="1" applyFont="1" applyFill="1" applyAlignment="1">
      <alignment vertical="center" wrapText="1"/>
    </xf>
    <xf numFmtId="170" fontId="4" fillId="3" borderId="0" xfId="0" applyNumberFormat="1" applyFont="1" applyFill="1" applyAlignment="1">
      <alignment vertical="center" wrapText="1"/>
    </xf>
    <xf numFmtId="1" fontId="4" fillId="3" borderId="0" xfId="0" applyNumberFormat="1" applyFont="1" applyFill="1" applyAlignment="1">
      <alignment vertical="center" wrapText="1"/>
    </xf>
    <xf numFmtId="170" fontId="4" fillId="4" borderId="0" xfId="0" applyNumberFormat="1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7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/>
            </a:pPr>
            <a:r>
              <a:rPr lang="en-US"/>
              <a:t>Worked portfolio weights</a:t>
            </a:r>
          </a:p>
        </c:rich>
      </c:tx>
      <c:layout>
        <c:manualLayout>
          <c:xMode val="edge"/>
          <c:yMode val="edge"/>
          <c:x val="0.36045185185185186"/>
          <c:y val="3.968750000000000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2314814814814813E-2"/>
          <c:y val="0.17197916666666666"/>
          <c:w val="0.88194444444444442"/>
          <c:h val="0.66586805555555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168B80"/>
            </a:solidFill>
            <a:ln>
              <a:noFill/>
              <a:prstDash val="solid"/>
            </a:ln>
          </c:spPr>
          <c:invertIfNegative val="1"/>
          <c:cat>
            <c:strRef>
              <c:f>'15 FF3 Solver'!$B$6:$K$6</c:f>
              <c:strCache>
                <c:ptCount val="10"/>
                <c:pt idx="0">
                  <c:v>AMD</c:v>
                </c:pt>
                <c:pt idx="1">
                  <c:v>AMZN</c:v>
                </c:pt>
                <c:pt idx="2">
                  <c:v>F</c:v>
                </c:pt>
                <c:pt idx="3">
                  <c:v>JPM</c:v>
                </c:pt>
                <c:pt idx="4">
                  <c:v>NVDA</c:v>
                </c:pt>
                <c:pt idx="5">
                  <c:v>PFE</c:v>
                </c:pt>
                <c:pt idx="6">
                  <c:v>TGT</c:v>
                </c:pt>
                <c:pt idx="7">
                  <c:v>XOM</c:v>
                </c:pt>
                <c:pt idx="8">
                  <c:v>WMT</c:v>
                </c:pt>
                <c:pt idx="9">
                  <c:v>VZ</c:v>
                </c:pt>
              </c:strCache>
            </c:strRef>
          </c:cat>
          <c:val>
            <c:numRef>
              <c:f>'15 FF3 Solver'!$B$9:$K$9</c:f>
              <c:numCache>
                <c:formatCode>0.00%;[Red]\(0.00%\);0.00%</c:formatCode>
                <c:ptCount val="10"/>
                <c:pt idx="0">
                  <c:v>9.498525087222702E-2</c:v>
                </c:pt>
                <c:pt idx="1">
                  <c:v>0</c:v>
                </c:pt>
                <c:pt idx="2">
                  <c:v>0</c:v>
                </c:pt>
                <c:pt idx="3">
                  <c:v>0.16836725846232883</c:v>
                </c:pt>
                <c:pt idx="4">
                  <c:v>0.29779431039509063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0.43885318027035364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3FE-4AEA-9C89-57AD9F7AA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DDDDDD"/>
              </a:solidFill>
            </a:ln>
          </c:spPr>
        </c:majorGridlines>
        <c:numFmt formatCode="0%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ptos"/>
          <a:ea typeface="Aptos"/>
          <a:cs typeface="Apto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14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68B80"/>
    <pageSetUpPr fitToPage="1"/>
  </sheetPr>
  <dimension ref="A1:K41"/>
  <sheetViews>
    <sheetView showGridLines="0" tabSelected="1" zoomScale="85" workbookViewId="0">
      <pane xSplit="1" ySplit="6" topLeftCell="B7" activePane="bottomRight" state="frozen"/>
      <selection pane="topRight"/>
      <selection pane="bottomLeft"/>
      <selection pane="bottomRight" sqref="A1:K1"/>
    </sheetView>
  </sheetViews>
  <sheetFormatPr defaultRowHeight="14.4" x14ac:dyDescent="0.3"/>
  <cols>
    <col min="1" max="1" width="34" customWidth="1"/>
    <col min="2" max="14" width="13" customWidth="1"/>
  </cols>
  <sheetData>
    <row r="1" spans="1:11" ht="25.95" customHeight="1" x14ac:dyDescent="0.3">
      <c r="A1" s="24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3" spans="1:11" ht="42" customHeight="1" x14ac:dyDescent="0.3">
      <c r="A3" s="21" t="s">
        <v>1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5" spans="1:11" ht="25.95" customHeight="1" x14ac:dyDescent="0.3">
      <c r="A5" s="25" t="s">
        <v>2</v>
      </c>
      <c r="B5" s="22"/>
      <c r="C5" s="22"/>
      <c r="D5" s="22"/>
      <c r="E5" s="22"/>
      <c r="F5" s="22"/>
      <c r="G5" s="22"/>
      <c r="H5" s="22"/>
      <c r="I5" s="22"/>
      <c r="J5" s="22"/>
      <c r="K5" s="22"/>
    </row>
    <row r="6" spans="1:11" ht="30" customHeight="1" x14ac:dyDescent="0.3">
      <c r="A6" s="1" t="s">
        <v>3</v>
      </c>
      <c r="B6" s="23" t="s">
        <v>4</v>
      </c>
      <c r="C6" s="22"/>
      <c r="D6" s="22"/>
      <c r="E6" s="22"/>
      <c r="F6" s="22"/>
      <c r="G6" s="22"/>
      <c r="H6" s="22"/>
      <c r="I6" s="22"/>
      <c r="J6" s="22"/>
      <c r="K6" s="22"/>
    </row>
    <row r="7" spans="1:11" ht="30" customHeight="1" x14ac:dyDescent="0.3">
      <c r="A7" s="1" t="s">
        <v>5</v>
      </c>
      <c r="B7" s="23" t="s">
        <v>6</v>
      </c>
      <c r="C7" s="22"/>
      <c r="D7" s="22"/>
      <c r="E7" s="22"/>
      <c r="F7" s="22"/>
      <c r="G7" s="22"/>
      <c r="H7" s="22"/>
      <c r="I7" s="22"/>
      <c r="J7" s="22"/>
      <c r="K7" s="22"/>
    </row>
    <row r="8" spans="1:11" ht="30" customHeight="1" x14ac:dyDescent="0.3">
      <c r="A8" s="1" t="s">
        <v>7</v>
      </c>
      <c r="B8" s="23" t="s">
        <v>8</v>
      </c>
      <c r="C8" s="22"/>
      <c r="D8" s="22"/>
      <c r="E8" s="22"/>
      <c r="F8" s="22"/>
      <c r="G8" s="22"/>
      <c r="H8" s="22"/>
      <c r="I8" s="22"/>
      <c r="J8" s="22"/>
      <c r="K8" s="22"/>
    </row>
    <row r="9" spans="1:11" ht="30" customHeight="1" x14ac:dyDescent="0.3">
      <c r="A9" s="1" t="s">
        <v>9</v>
      </c>
      <c r="B9" s="23" t="s">
        <v>10</v>
      </c>
      <c r="C9" s="22"/>
      <c r="D9" s="22"/>
      <c r="E9" s="22"/>
      <c r="F9" s="22"/>
      <c r="G9" s="22"/>
      <c r="H9" s="22"/>
      <c r="I9" s="22"/>
      <c r="J9" s="22"/>
      <c r="K9" s="22"/>
    </row>
    <row r="10" spans="1:11" ht="30" customHeight="1" x14ac:dyDescent="0.3">
      <c r="A10" s="1" t="s">
        <v>11</v>
      </c>
      <c r="B10" s="23" t="s">
        <v>12</v>
      </c>
      <c r="C10" s="22"/>
      <c r="D10" s="22"/>
      <c r="E10" s="22"/>
      <c r="F10" s="22"/>
      <c r="G10" s="22"/>
      <c r="H10" s="22"/>
      <c r="I10" s="22"/>
      <c r="J10" s="22"/>
      <c r="K10" s="22"/>
    </row>
    <row r="11" spans="1:11" ht="30" customHeight="1" x14ac:dyDescent="0.3">
      <c r="A11" s="1" t="s">
        <v>13</v>
      </c>
      <c r="B11" s="23" t="s">
        <v>14</v>
      </c>
      <c r="C11" s="22"/>
      <c r="D11" s="22"/>
      <c r="E11" s="22"/>
      <c r="F11" s="22"/>
      <c r="G11" s="22"/>
      <c r="H11" s="22"/>
      <c r="I11" s="22"/>
      <c r="J11" s="22"/>
      <c r="K11" s="22"/>
    </row>
    <row r="12" spans="1:11" ht="30" customHeight="1" x14ac:dyDescent="0.3">
      <c r="A12" s="1" t="s">
        <v>15</v>
      </c>
      <c r="B12" s="23" t="s">
        <v>16</v>
      </c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30" customHeight="1" x14ac:dyDescent="0.3">
      <c r="A13" s="1" t="s">
        <v>17</v>
      </c>
      <c r="B13" s="23" t="s">
        <v>18</v>
      </c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30" customHeight="1" x14ac:dyDescent="0.3">
      <c r="A14" s="1" t="s">
        <v>19</v>
      </c>
      <c r="B14" s="23" t="s">
        <v>20</v>
      </c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30" customHeight="1" x14ac:dyDescent="0.3">
      <c r="A15" s="1" t="s">
        <v>21</v>
      </c>
      <c r="B15" s="23" t="s">
        <v>22</v>
      </c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30" customHeight="1" x14ac:dyDescent="0.3">
      <c r="A16" s="1" t="s">
        <v>23</v>
      </c>
      <c r="B16" s="23" t="s">
        <v>24</v>
      </c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30" customHeight="1" x14ac:dyDescent="0.3">
      <c r="A17" s="1" t="s">
        <v>25</v>
      </c>
      <c r="B17" s="23" t="s">
        <v>26</v>
      </c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30" customHeight="1" x14ac:dyDescent="0.3">
      <c r="A18" s="1" t="s">
        <v>27</v>
      </c>
      <c r="B18" s="23" t="s">
        <v>28</v>
      </c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30" customHeight="1" x14ac:dyDescent="0.3">
      <c r="A19" s="1" t="s">
        <v>29</v>
      </c>
      <c r="B19" s="23" t="s">
        <v>30</v>
      </c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30" customHeight="1" x14ac:dyDescent="0.3">
      <c r="A20" s="1" t="s">
        <v>31</v>
      </c>
      <c r="B20" s="23" t="s">
        <v>32</v>
      </c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30" customHeight="1" x14ac:dyDescent="0.3">
      <c r="A21" s="1" t="s">
        <v>33</v>
      </c>
      <c r="B21" s="23" t="s">
        <v>34</v>
      </c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30" customHeight="1" x14ac:dyDescent="0.3">
      <c r="A22" s="1" t="s">
        <v>35</v>
      </c>
      <c r="B22" s="23" t="s">
        <v>36</v>
      </c>
      <c r="C22" s="22"/>
      <c r="D22" s="22"/>
      <c r="E22" s="22"/>
      <c r="F22" s="22"/>
      <c r="G22" s="22"/>
      <c r="H22" s="22"/>
      <c r="I22" s="22"/>
      <c r="J22" s="22"/>
      <c r="K22" s="22"/>
    </row>
    <row r="24" spans="1:11" ht="25.95" customHeight="1" x14ac:dyDescent="0.3">
      <c r="A24" s="25" t="s">
        <v>37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31.95" customHeight="1" x14ac:dyDescent="0.3">
      <c r="A25" s="21" t="s">
        <v>38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31.95" customHeight="1" x14ac:dyDescent="0.3">
      <c r="A26" s="21" t="s">
        <v>39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31.95" customHeight="1" x14ac:dyDescent="0.3">
      <c r="A27" s="21" t="s">
        <v>40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30" customHeight="1" x14ac:dyDescent="0.3">
      <c r="A28" s="21" t="s">
        <v>41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31.95" customHeight="1" x14ac:dyDescent="0.3">
      <c r="A29" s="21" t="s">
        <v>42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31.95" customHeight="1" x14ac:dyDescent="0.3">
      <c r="A30" s="21" t="s">
        <v>43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31.95" customHeight="1" x14ac:dyDescent="0.3">
      <c r="A31" s="21" t="s">
        <v>44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30" customHeight="1" x14ac:dyDescent="0.3">
      <c r="A32" s="21" t="s">
        <v>45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</row>
    <row r="34" spans="1:11" ht="25.95" customHeight="1" x14ac:dyDescent="0.3">
      <c r="A34" s="25" t="s">
        <v>46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</row>
    <row r="35" spans="1:11" ht="31.95" customHeight="1" x14ac:dyDescent="0.3">
      <c r="A35" s="21" t="inlineStr">
        <is>
          <t>Stocks: AMD, AMZN, F, JPM, NVDA, PFE, TGT, XOM, WMT, VZ. Regressions use the French market excess-return factor: FF3 for CAPM, FF3 and Carhart; FF5 for the five-factor model.</t>
        </is>
      </c>
      <c r="B35" s="22"/>
      <c r="C35" s="22"/>
      <c r="D35" s="22"/>
      <c r="E35" s="22"/>
      <c r="F35" s="22"/>
      <c r="G35" s="22"/>
      <c r="H35" s="22"/>
      <c r="I35" s="22"/>
      <c r="J35" s="22"/>
      <c r="K35" s="22"/>
    </row>
    <row r="36" spans="1:11" ht="31.95" customHeight="1" x14ac:dyDescent="0.3">
      <c r="A36" s="21" t="s">
        <v>48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</row>
    <row r="37" spans="1:11" ht="31.95" customHeight="1" x14ac:dyDescent="0.3">
      <c r="A37" s="21" t="s">
        <v>49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 spans="1:11" ht="30" customHeight="1" x14ac:dyDescent="0.3">
      <c r="A38" s="21" t="s">
        <v>50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</row>
    <row r="39" spans="1:11" ht="30" customHeight="1" x14ac:dyDescent="0.3">
      <c r="A39" s="21" t="s">
        <v>51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</row>
    <row r="40" spans="1:11" ht="30" customHeight="1" x14ac:dyDescent="0.3">
      <c r="A40" s="21" t="s">
        <v>52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</row>
    <row r="41" spans="1:11" ht="30" customHeight="1" x14ac:dyDescent="0.3">
      <c r="A41" s="21" t="s">
        <v>53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</row>
  </sheetData>
  <mergeCells count="37">
    <mergeCell ref="A39:K39"/>
    <mergeCell ref="B9:K9"/>
    <mergeCell ref="A24:K24"/>
    <mergeCell ref="B15:K15"/>
    <mergeCell ref="A38:K38"/>
    <mergeCell ref="A1:K1"/>
    <mergeCell ref="A25:K25"/>
    <mergeCell ref="A3:K3"/>
    <mergeCell ref="A5:K5"/>
    <mergeCell ref="A29:K29"/>
    <mergeCell ref="B13:K13"/>
    <mergeCell ref="A28:K28"/>
    <mergeCell ref="B10:K10"/>
    <mergeCell ref="B8:K8"/>
    <mergeCell ref="B14:K14"/>
    <mergeCell ref="B17:K17"/>
    <mergeCell ref="B6:K6"/>
    <mergeCell ref="A36:K36"/>
    <mergeCell ref="B20:K20"/>
    <mergeCell ref="A34:K34"/>
    <mergeCell ref="A30:K30"/>
    <mergeCell ref="A40:K40"/>
    <mergeCell ref="B19:K19"/>
    <mergeCell ref="A31:K31"/>
    <mergeCell ref="A41:K41"/>
    <mergeCell ref="B7:K7"/>
    <mergeCell ref="B16:K16"/>
    <mergeCell ref="A37:K37"/>
    <mergeCell ref="A27:K27"/>
    <mergeCell ref="B22:K22"/>
    <mergeCell ref="A26:K26"/>
    <mergeCell ref="B18:K18"/>
    <mergeCell ref="B21:K21"/>
    <mergeCell ref="B12:K12"/>
    <mergeCell ref="A32:K32"/>
    <mergeCell ref="B11:K11"/>
    <mergeCell ref="A35:K35"/>
  </mergeCells>
  <hyperlinks>
    <hyperlink ref="A6" location="'01 Factor Examples'!A1" display="01 Factor Examples" xr:uid="{00000000-0004-0000-0000-000000000000}"/>
    <hyperlink ref="A7" location="'02 APT Solver'!A1" display="02 APT Solver" xr:uid="{00000000-0004-0000-0000-000001000000}"/>
    <hyperlink ref="A8" location="'03 Hedge Solver'!A1" display="03 Hedge Solver" xr:uid="{00000000-0004-0000-0000-000002000000}"/>
    <hyperlink ref="A9" location="'04 Prices'!A1" display="04 Prices" xr:uid="{00000000-0004-0000-0000-000003000000}"/>
    <hyperlink ref="A10" location="'05 Factors'!A1" display="05 Factors" xr:uid="{00000000-0004-0000-0000-000004000000}"/>
    <hyperlink ref="A11" location="'06 Returns'!A1" display="06 Returns" xr:uid="{00000000-0004-0000-0000-000005000000}"/>
    <hyperlink ref="A12" location="'07 Excess'!A1" display="07 Excess" xr:uid="{00000000-0004-0000-0000-000006000000}"/>
    <hyperlink ref="A13" location="'08 CAPM'!A1" display="08 CAPM" xr:uid="{00000000-0004-0000-0000-000007000000}"/>
    <hyperlink ref="A14" location="'09 FF3'!A1" display="09 FF3" xr:uid="{00000000-0004-0000-0000-000008000000}"/>
    <hyperlink ref="A15" location="'10 Carhart4'!A1" display="10 Carhart4" xr:uid="{00000000-0004-0000-0000-000009000000}"/>
    <hyperlink ref="A16" location="'11 FF5'!A1" display="11 FF5" xr:uid="{00000000-0004-0000-0000-00000A000000}"/>
    <hyperlink ref="A17" location="'12 Model Comparison'!A1" display="12 Model Comparison" xr:uid="{00000000-0004-0000-0000-00000B000000}"/>
    <hyperlink ref="A18" location="'13 Factor Cov'!A1" display="13 Factor Cov" xr:uid="{00000000-0004-0000-0000-00000C000000}"/>
    <hyperlink ref="A19" location="'14 FF3 Cov'!A1" display="14 FF3 Cov" xr:uid="{00000000-0004-0000-0000-00000D000000}"/>
    <hyperlink ref="A20" location="'15 FF3 Solver'!A1" display="15 FF3 Solver" xr:uid="{00000000-0004-0000-0000-00000E000000}"/>
    <hyperlink ref="A21" location="'16 Exposure Solver'!A1" display="16 Exposure Solver" xr:uid="{00000000-0004-0000-0000-00000F000000}"/>
    <hyperlink ref="A22" location="'17 Mimic Solver'!A1" display="17 Mimic Solver" xr:uid="{00000000-0004-0000-0000-000010000000}"/>
  </hyperlinks>
  <printOptions horizontalCentered="1"/>
  <pageMargins left="0.25" right="0.25" top="0.35" bottom="0.35" header="0.5" footer="0.5"/>
  <pageSetup paperSize="9" fitToHeight="0" orientation="landscape"/>
  <headerFooter>
    <oddFooter>&amp;CBFIN | &amp;A |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68B80"/>
    <pageSetUpPr fitToPage="1"/>
  </sheetPr>
  <dimension ref="A1:K39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14" width="13" customWidth="1"/>
  </cols>
  <sheetData>
    <row r="1" spans="1:11" ht="25.95" customHeight="1" x14ac:dyDescent="0.3">
      <c r="A1" s="24" t="s">
        <v>54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5.6" x14ac:dyDescent="0.3">
      <c r="A2" s="1" t="s">
        <v>55</v>
      </c>
    </row>
    <row r="3" spans="1:11" ht="42" customHeight="1" x14ac:dyDescent="0.3">
      <c r="A3" s="21" t="s">
        <v>56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5" spans="1:11" x14ac:dyDescent="0.3">
      <c r="A5" s="2" t="s">
        <v>57</v>
      </c>
      <c r="B5" s="3">
        <v>0.03</v>
      </c>
    </row>
    <row r="7" spans="1:11" ht="34.049999999999997" customHeight="1" x14ac:dyDescent="0.3">
      <c r="A7" s="4" t="s">
        <v>58</v>
      </c>
      <c r="B7" s="4" t="s">
        <v>59</v>
      </c>
      <c r="C7" s="4" t="s">
        <v>60</v>
      </c>
      <c r="D7" s="4" t="s">
        <v>61</v>
      </c>
      <c r="E7" s="4" t="s">
        <v>62</v>
      </c>
      <c r="F7" s="4" t="s">
        <v>63</v>
      </c>
    </row>
    <row r="8" spans="1:11" x14ac:dyDescent="0.3">
      <c r="A8" s="2" t="s">
        <v>64</v>
      </c>
      <c r="B8" s="5">
        <v>0.05</v>
      </c>
      <c r="C8" s="6">
        <v>1.2</v>
      </c>
      <c r="D8" s="5">
        <v>0.03</v>
      </c>
      <c r="E8" s="5">
        <v>0.01</v>
      </c>
      <c r="F8" s="7">
        <f>E8-D8</f>
        <v>-1.9999999999999997E-2</v>
      </c>
    </row>
    <row r="9" spans="1:11" x14ac:dyDescent="0.3">
      <c r="A9" s="2" t="s">
        <v>65</v>
      </c>
      <c r="B9" s="5">
        <v>-0.01</v>
      </c>
      <c r="C9" s="6">
        <v>0.5</v>
      </c>
      <c r="D9" s="5">
        <v>0.02</v>
      </c>
      <c r="E9" s="5">
        <v>0.04</v>
      </c>
      <c r="F9" s="7">
        <f>E9-D9</f>
        <v>0.02</v>
      </c>
    </row>
    <row r="12" spans="1:11" x14ac:dyDescent="0.3">
      <c r="A12" s="2" t="s">
        <v>66</v>
      </c>
      <c r="B12" s="8">
        <f>B5+SUMPRODUCT(B8:B9,C8:C9)</f>
        <v>8.4999999999999992E-2</v>
      </c>
    </row>
    <row r="13" spans="1:11" x14ac:dyDescent="0.3">
      <c r="A13" s="2" t="s">
        <v>67</v>
      </c>
      <c r="B13" s="8">
        <f>B12+SUMPRODUCT(C8:C9,F8:F9)</f>
        <v>7.0999999999999994E-2</v>
      </c>
    </row>
    <row r="15" spans="1:11" ht="31.95" customHeight="1" x14ac:dyDescent="0.3">
      <c r="A15" s="21" t="s">
        <v>68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</row>
    <row r="18" spans="1:11" ht="25.95" customHeight="1" x14ac:dyDescent="0.3">
      <c r="A18" s="25" t="s">
        <v>69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</row>
    <row r="20" spans="1:11" ht="34.049999999999997" customHeight="1" x14ac:dyDescent="0.3">
      <c r="A20" s="4" t="s">
        <v>70</v>
      </c>
      <c r="B20" s="4" t="s">
        <v>71</v>
      </c>
      <c r="C20" s="4" t="s">
        <v>72</v>
      </c>
    </row>
    <row r="21" spans="1:11" x14ac:dyDescent="0.3">
      <c r="A21" s="2" t="s">
        <v>73</v>
      </c>
      <c r="B21" s="5">
        <v>6.0000000000000001E-3</v>
      </c>
      <c r="C21" s="6">
        <v>1.1000000000000001</v>
      </c>
    </row>
    <row r="22" spans="1:11" x14ac:dyDescent="0.3">
      <c r="A22" s="2" t="s">
        <v>74</v>
      </c>
      <c r="B22" s="5">
        <v>2E-3</v>
      </c>
      <c r="C22" s="6">
        <v>-0.5</v>
      </c>
    </row>
    <row r="23" spans="1:11" x14ac:dyDescent="0.3">
      <c r="A23" s="2" t="s">
        <v>75</v>
      </c>
      <c r="B23" s="5">
        <v>3.5000000000000001E-3</v>
      </c>
      <c r="C23" s="6">
        <v>0.4</v>
      </c>
    </row>
    <row r="25" spans="1:11" x14ac:dyDescent="0.3">
      <c r="A25" s="2" t="s">
        <v>76</v>
      </c>
      <c r="B25" s="5">
        <v>2E-3</v>
      </c>
    </row>
    <row r="26" spans="1:11" x14ac:dyDescent="0.3">
      <c r="A26" s="2" t="s">
        <v>77</v>
      </c>
      <c r="B26" s="5">
        <v>7.4999999999999997E-3</v>
      </c>
    </row>
    <row r="28" spans="1:11" x14ac:dyDescent="0.3">
      <c r="A28" s="2" t="s">
        <v>78</v>
      </c>
      <c r="B28" s="8">
        <f>SUMPRODUCT(B21:B23,C21:C23)</f>
        <v>7.000000000000001E-3</v>
      </c>
    </row>
    <row r="29" spans="1:11" x14ac:dyDescent="0.3">
      <c r="A29" s="2" t="s">
        <v>79</v>
      </c>
      <c r="B29" s="8">
        <f>B25+B28</f>
        <v>9.0000000000000011E-3</v>
      </c>
    </row>
    <row r="30" spans="1:11" x14ac:dyDescent="0.3">
      <c r="A30" s="2" t="s">
        <v>80</v>
      </c>
      <c r="B30" s="8">
        <f>B26-B29</f>
        <v>-1.5000000000000013E-3</v>
      </c>
    </row>
    <row r="31" spans="1:11" x14ac:dyDescent="0.3">
      <c r="A31" s="2" t="s">
        <v>81</v>
      </c>
      <c r="B31" s="8">
        <f>12*B30</f>
        <v>-1.8000000000000016E-2</v>
      </c>
    </row>
    <row r="34" spans="1:11" ht="25.95" customHeight="1" x14ac:dyDescent="0.3">
      <c r="A34" s="25" t="s">
        <v>82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</row>
    <row r="35" spans="1:11" ht="30" customHeight="1" x14ac:dyDescent="0.3">
      <c r="A35" s="21" t="s">
        <v>83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</row>
    <row r="36" spans="1:11" ht="30" customHeight="1" x14ac:dyDescent="0.3">
      <c r="A36" s="21" t="s">
        <v>84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</row>
    <row r="37" spans="1:11" ht="30" customHeight="1" x14ac:dyDescent="0.3">
      <c r="A37" s="21" t="s">
        <v>85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 spans="1:11" ht="30" customHeight="1" x14ac:dyDescent="0.3">
      <c r="A38" s="21" t="s">
        <v>86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</row>
    <row r="39" spans="1:11" ht="30" customHeight="1" x14ac:dyDescent="0.3">
      <c r="A39" s="21" t="s">
        <v>87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</row>
  </sheetData>
  <mergeCells count="10">
    <mergeCell ref="A39:K39"/>
    <mergeCell ref="A15:K15"/>
    <mergeCell ref="A38:K38"/>
    <mergeCell ref="A36:K36"/>
    <mergeCell ref="A1:K1"/>
    <mergeCell ref="A37:K37"/>
    <mergeCell ref="A34:K34"/>
    <mergeCell ref="A18:K18"/>
    <mergeCell ref="A35:K35"/>
    <mergeCell ref="A3:K3"/>
  </mergeCells>
  <hyperlinks>
    <hyperlink ref="A2" location="'00 Start'!A1" display="Back to guide" xr:uid="{00000000-0004-0000-0100-000000000000}"/>
  </hyperlinks>
  <printOptions horizontalCentered="1"/>
  <pageMargins left="0.25" right="0.25" top="0.35" bottom="0.35" header="0.5" footer="0.5"/>
  <pageSetup paperSize="9" fitToHeight="0" orientation="landscape"/>
  <headerFooter>
    <oddFooter>&amp;CBFIN | &amp;A |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8B80"/>
    <pageSetUpPr fitToPage="1"/>
  </sheetPr>
  <dimension ref="A1:K31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 sqref="A1:K1"/>
    </sheetView>
  </sheetViews>
  <sheetFormatPr defaultRowHeight="14.4" x14ac:dyDescent="0.3"/>
  <cols>
    <col min="1" max="1" width="34" customWidth="1"/>
    <col min="2" max="14" width="13" customWidth="1"/>
  </cols>
  <sheetData>
    <row r="1" spans="1:11" ht="25.95" customHeight="1" x14ac:dyDescent="0.3">
      <c r="A1" s="24" t="s">
        <v>88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5.6" x14ac:dyDescent="0.3">
      <c r="A2" s="1" t="s">
        <v>55</v>
      </c>
    </row>
    <row r="3" spans="1:11" ht="42" customHeight="1" x14ac:dyDescent="0.3">
      <c r="A3" s="21" t="s">
        <v>89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7" spans="1:11" ht="34.049999999999997" customHeight="1" x14ac:dyDescent="0.3">
      <c r="A7" s="4" t="s">
        <v>90</v>
      </c>
      <c r="B7" s="4" t="s">
        <v>91</v>
      </c>
      <c r="C7" s="4" t="s">
        <v>92</v>
      </c>
      <c r="D7" s="4" t="s">
        <v>93</v>
      </c>
    </row>
    <row r="8" spans="1:11" x14ac:dyDescent="0.3">
      <c r="A8" s="2" t="s">
        <v>94</v>
      </c>
      <c r="B8" s="6">
        <v>1.5</v>
      </c>
      <c r="C8" s="6">
        <v>1</v>
      </c>
      <c r="D8" s="6">
        <v>0</v>
      </c>
    </row>
    <row r="9" spans="1:11" x14ac:dyDescent="0.3">
      <c r="A9" s="2" t="s">
        <v>95</v>
      </c>
      <c r="B9" s="5">
        <v>0.1</v>
      </c>
      <c r="C9" s="5">
        <v>0.09</v>
      </c>
      <c r="D9" s="5">
        <v>0.03</v>
      </c>
    </row>
    <row r="10" spans="1:11" x14ac:dyDescent="0.3">
      <c r="A10" s="2" t="s">
        <v>96</v>
      </c>
      <c r="B10" s="9">
        <v>-100</v>
      </c>
      <c r="C10" s="9">
        <v>150</v>
      </c>
      <c r="D10" s="9">
        <v>-50</v>
      </c>
    </row>
    <row r="12" spans="1:11" x14ac:dyDescent="0.3">
      <c r="A12" s="2" t="s">
        <v>97</v>
      </c>
      <c r="B12" s="8">
        <f>(B9-D9)/B8</f>
        <v>4.6666666666666669E-2</v>
      </c>
    </row>
    <row r="13" spans="1:11" x14ac:dyDescent="0.3">
      <c r="A13" s="2" t="s">
        <v>98</v>
      </c>
      <c r="B13" s="8">
        <f>(C9-D9)/C8</f>
        <v>0.06</v>
      </c>
    </row>
    <row r="14" spans="1:11" x14ac:dyDescent="0.3">
      <c r="A14" s="2" t="s">
        <v>99</v>
      </c>
      <c r="B14" s="10">
        <f>SUM(B10:D10)</f>
        <v>0</v>
      </c>
    </row>
    <row r="15" spans="1:11" x14ac:dyDescent="0.3">
      <c r="A15" s="2" t="s">
        <v>100</v>
      </c>
      <c r="B15" s="11">
        <f>SUMPRODUCT(B10:D10,B8:D8)</f>
        <v>0</v>
      </c>
    </row>
    <row r="18" spans="1:11" x14ac:dyDescent="0.3">
      <c r="A18" s="2" t="s">
        <v>101</v>
      </c>
      <c r="B18" s="10">
        <f>SUMPRODUCT(B10:D10,B9:D9)</f>
        <v>2</v>
      </c>
    </row>
    <row r="22" spans="1:11" ht="25.95" customHeight="1" x14ac:dyDescent="0.3">
      <c r="A22" s="25" t="s">
        <v>82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30" customHeight="1" x14ac:dyDescent="0.3">
      <c r="A23" s="21" t="s">
        <v>102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30" customHeight="1" x14ac:dyDescent="0.3">
      <c r="A24" s="21" t="s">
        <v>103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30" customHeight="1" x14ac:dyDescent="0.3">
      <c r="A25" s="21" t="s">
        <v>104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30" customHeight="1" x14ac:dyDescent="0.3">
      <c r="A26" s="21" t="inlineStr">
        <is>
          <t>4. Select Simplex LP. Clear "Make Unconstrained Variables Non-Negative"; apply only the constraints listed above.</t>
        </is>
      </c>
      <c r="B26" s="22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31.95" customHeight="1" x14ac:dyDescent="0.3">
      <c r="A27" s="21" t="inlineStr">
        <is>
          <t>5. In Options, enable Automatic Scaling; set constraint precision to 0.000000001. Select Solve, then Keep Solver Solution.</t>
        </is>
      </c>
      <c r="B27" s="22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31.95" customHeight="1" x14ac:dyDescent="0.3">
      <c r="A28" s="21" t="s">
        <v>107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30" customHeight="1" x14ac:dyDescent="0.3">
      <c r="A29" s="21" t="s">
        <v>108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30" customHeight="1" x14ac:dyDescent="0.3">
      <c r="A30" s="21" t="s">
        <v>109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30" customHeight="1" x14ac:dyDescent="0.3">
      <c r="A31" s="21" t="s">
        <v>110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</row>
  </sheetData>
  <mergeCells count="12">
    <mergeCell ref="A1:K1"/>
    <mergeCell ref="A23:K23"/>
    <mergeCell ref="A27:K27"/>
    <mergeCell ref="A31:K31"/>
    <mergeCell ref="A22:K22"/>
    <mergeCell ref="A3:K3"/>
    <mergeCell ref="A26:K26"/>
    <mergeCell ref="A30:K30"/>
    <mergeCell ref="A29:K29"/>
    <mergeCell ref="A25:K25"/>
    <mergeCell ref="A24:K24"/>
    <mergeCell ref="A28:K28"/>
  </mergeCells>
  <hyperlinks>
    <hyperlink ref="A2" location="'00 Start'!A1" display="Back to guide" xr:uid="{00000000-0004-0000-0200-000000000000}"/>
  </hyperlinks>
  <printOptions horizontalCentered="1"/>
  <pageMargins left="0.25" right="0.25" top="0.35" bottom="0.35" header="0.5" footer="0.5"/>
  <pageSetup paperSize="9" fitToHeight="0" orientation="landscape"/>
  <headerFooter>
    <oddFooter>&amp;CBFIN | &amp;A | Page &amp;P of &amp;N</oddFooter>
  </headerFooter>
  <rowBreaks count="1" manualBreakCount="1">
    <brk id="2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68B80"/>
    <pageSetUpPr fitToPage="1"/>
  </sheetPr>
  <dimension ref="A1:K31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 sqref="A1:K1"/>
    </sheetView>
  </sheetViews>
  <sheetFormatPr defaultRowHeight="14.4" x14ac:dyDescent="0.3"/>
  <cols>
    <col min="1" max="1" width="34" customWidth="1"/>
    <col min="2" max="14" width="13" customWidth="1"/>
  </cols>
  <sheetData>
    <row r="1" spans="1:11" ht="25.95" customHeight="1" x14ac:dyDescent="0.3">
      <c r="A1" s="24" t="s">
        <v>111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5.6" x14ac:dyDescent="0.3">
      <c r="A2" s="1" t="s">
        <v>55</v>
      </c>
    </row>
    <row r="3" spans="1:11" ht="42" customHeight="1" x14ac:dyDescent="0.3">
      <c r="A3" s="21" t="s">
        <v>112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7" spans="1:11" ht="34.049999999999997" customHeight="1" x14ac:dyDescent="0.3">
      <c r="A7" s="4" t="s">
        <v>90</v>
      </c>
      <c r="B7" s="4" t="s">
        <v>113</v>
      </c>
      <c r="C7" s="4" t="s">
        <v>114</v>
      </c>
      <c r="D7" s="4" t="s">
        <v>115</v>
      </c>
    </row>
    <row r="8" spans="1:11" x14ac:dyDescent="0.3">
      <c r="A8" s="2" t="s">
        <v>116</v>
      </c>
      <c r="B8" s="6">
        <v>1.1000000000000001</v>
      </c>
      <c r="C8" s="6">
        <v>0.2</v>
      </c>
      <c r="D8" s="6">
        <v>0</v>
      </c>
    </row>
    <row r="9" spans="1:11" x14ac:dyDescent="0.3">
      <c r="A9" s="2" t="s">
        <v>117</v>
      </c>
      <c r="B9" s="6">
        <v>1.8</v>
      </c>
      <c r="C9" s="6">
        <v>-0.6</v>
      </c>
      <c r="D9" s="6">
        <v>0</v>
      </c>
    </row>
    <row r="10" spans="1:11" x14ac:dyDescent="0.3">
      <c r="A10" s="2" t="s">
        <v>96</v>
      </c>
      <c r="B10" s="12">
        <v>100</v>
      </c>
      <c r="C10" s="9">
        <v>300.00000000000284</v>
      </c>
      <c r="D10" s="9">
        <v>-300.00000000000284</v>
      </c>
    </row>
    <row r="14" spans="1:11" x14ac:dyDescent="0.3">
      <c r="A14" s="2" t="s">
        <v>118</v>
      </c>
      <c r="B14" s="10">
        <f>SUM(B10:D10)</f>
        <v>100</v>
      </c>
    </row>
    <row r="15" spans="1:11" x14ac:dyDescent="0.3">
      <c r="A15" s="2" t="s">
        <v>119</v>
      </c>
      <c r="B15" s="11">
        <f>SUMPRODUCT(B10:D10,B9:D9)</f>
        <v>-1.7053025658242404E-12</v>
      </c>
    </row>
    <row r="16" spans="1:11" x14ac:dyDescent="0.3">
      <c r="A16" s="2" t="s">
        <v>120</v>
      </c>
      <c r="B16" s="11">
        <f>SUMPRODUCT(B10:D10,B8:D8)/B14</f>
        <v>1.7000000000000057</v>
      </c>
    </row>
    <row r="18" spans="1:11" x14ac:dyDescent="0.3">
      <c r="A18" s="2" t="s">
        <v>121</v>
      </c>
      <c r="B18" s="10">
        <f>C10</f>
        <v>300.00000000000284</v>
      </c>
    </row>
    <row r="22" spans="1:11" ht="25.95" customHeight="1" x14ac:dyDescent="0.3">
      <c r="A22" s="25" t="s">
        <v>82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30" customHeight="1" x14ac:dyDescent="0.3">
      <c r="A23" s="21" t="s">
        <v>122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30" customHeight="1" x14ac:dyDescent="0.3">
      <c r="A24" s="21" t="s">
        <v>123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30" customHeight="1" x14ac:dyDescent="0.3">
      <c r="A25" s="21" t="s">
        <v>124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30" customHeight="1" x14ac:dyDescent="0.3">
      <c r="A26" s="21" t="inlineStr">
        <is>
          <t>4. Select Simplex LP. Clear "Make Unconstrained Variables Non-Negative"; apply only the constraints listed above.</t>
        </is>
      </c>
      <c r="B26" s="22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31.95" customHeight="1" x14ac:dyDescent="0.3">
      <c r="A27" s="21" t="inlineStr">
        <is>
          <t>5. In Options, enable Automatic Scaling; set constraint precision to 0.000000001. Select Solve, then Keep Solver Solution.</t>
        </is>
      </c>
      <c r="B27" s="22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31.95" customHeight="1" x14ac:dyDescent="0.3">
      <c r="A28" s="21" t="s">
        <v>107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30" customHeight="1" x14ac:dyDescent="0.3">
      <c r="A29" s="21" t="s">
        <v>125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30" customHeight="1" x14ac:dyDescent="0.3">
      <c r="A30" s="21" t="s">
        <v>126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30" customHeight="1" x14ac:dyDescent="0.3">
      <c r="A31" s="21" t="s">
        <v>127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</row>
  </sheetData>
  <mergeCells count="12">
    <mergeCell ref="A1:K1"/>
    <mergeCell ref="A23:K23"/>
    <mergeCell ref="A27:K27"/>
    <mergeCell ref="A31:K31"/>
    <mergeCell ref="A22:K22"/>
    <mergeCell ref="A3:K3"/>
    <mergeCell ref="A26:K26"/>
    <mergeCell ref="A30:K30"/>
    <mergeCell ref="A29:K29"/>
    <mergeCell ref="A25:K25"/>
    <mergeCell ref="A24:K24"/>
    <mergeCell ref="A28:K28"/>
  </mergeCells>
  <hyperlinks>
    <hyperlink ref="A2" location="'00 Start'!A1" display="Back to guide" xr:uid="{00000000-0004-0000-0300-000000000000}"/>
  </hyperlinks>
  <printOptions horizontalCentered="1"/>
  <pageMargins left="0.25" right="0.25" top="0.35" bottom="0.35" header="0.5" footer="0.5"/>
  <pageSetup paperSize="9" scale="86" fitToHeight="0" orientation="landscape" r:id="rId1"/>
  <headerFooter>
    <oddFooter>&amp;CBFIN | &amp;A | Page &amp;P of &amp;N</oddFooter>
  </headerFooter>
  <rowBreaks count="1" manualBreakCount="1">
    <brk id="2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3AAB5"/>
    <pageSetUpPr fitToPage="1"/>
  </sheetPr>
  <dimension ref="A1:L128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14" width="13" customWidth="1"/>
  </cols>
  <sheetData>
    <row r="1" spans="1:12" ht="25.95" customHeight="1" x14ac:dyDescent="0.3">
      <c r="A1" s="24" t="s">
        <v>128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2" ht="15.6" x14ac:dyDescent="0.3">
      <c r="A2" s="1" t="s">
        <v>55</v>
      </c>
    </row>
    <row r="3" spans="1:12" ht="42" customHeight="1" x14ac:dyDescent="0.3">
      <c r="A3" s="21" t="s">
        <v>129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7" spans="1:12" ht="34.049999999999997" customHeight="1" x14ac:dyDescent="0.3">
      <c r="A7" s="4" t="s">
        <v>130</v>
      </c>
      <c r="B7" s="4" t="s">
        <v>131</v>
      </c>
      <c r="C7" s="4" t="s">
        <v>132</v>
      </c>
      <c r="D7" s="4" t="s">
        <v>133</v>
      </c>
      <c r="E7" s="4" t="s">
        <v>134</v>
      </c>
      <c r="F7" s="4" t="s">
        <v>135</v>
      </c>
      <c r="G7" s="4" t="s">
        <v>136</v>
      </c>
      <c r="H7" s="4" t="s">
        <v>137</v>
      </c>
      <c r="I7" s="4" t="s">
        <v>138</v>
      </c>
      <c r="J7" s="4" t="s">
        <v>139</v>
      </c>
      <c r="K7" s="4" t="s">
        <v>140</v>
      </c>
      <c r="L7" s="4" t="s">
        <v>141</v>
      </c>
    </row>
    <row r="8" spans="1:12" x14ac:dyDescent="0.3">
      <c r="A8" s="13">
        <v>42369</v>
      </c>
      <c r="B8" s="14">
        <v>2.86999988556</v>
      </c>
      <c r="C8" s="14">
        <v>33.794498443599998</v>
      </c>
      <c r="D8" s="14">
        <v>7.8683395385699999</v>
      </c>
      <c r="E8" s="14">
        <v>49.676094055199997</v>
      </c>
      <c r="F8" s="14">
        <v>0.80210250616099998</v>
      </c>
      <c r="G8" s="14">
        <v>18.921941757199999</v>
      </c>
      <c r="H8" s="14">
        <v>52.515731811499997</v>
      </c>
      <c r="I8" s="14">
        <v>49.3123168945</v>
      </c>
      <c r="J8" s="14">
        <v>16.922689437900001</v>
      </c>
      <c r="K8" s="14">
        <v>26.117038726800001</v>
      </c>
      <c r="L8" s="14">
        <v>3821.6000976599998</v>
      </c>
    </row>
    <row r="9" spans="1:12" x14ac:dyDescent="0.3">
      <c r="A9" s="13">
        <v>42400</v>
      </c>
      <c r="B9" s="14">
        <v>2.2000000476800001</v>
      </c>
      <c r="C9" s="14">
        <v>29.350000381499999</v>
      </c>
      <c r="D9" s="14">
        <v>6.8925857543899998</v>
      </c>
      <c r="E9" s="14">
        <v>45.063694000200002</v>
      </c>
      <c r="F9" s="14">
        <v>0.71279054880100001</v>
      </c>
      <c r="G9" s="14">
        <v>17.872680664099999</v>
      </c>
      <c r="H9" s="14">
        <v>52.378307342500001</v>
      </c>
      <c r="I9" s="14">
        <v>49.2490463257</v>
      </c>
      <c r="J9" s="14">
        <v>18.319568633999999</v>
      </c>
      <c r="K9" s="14">
        <v>28.583307266199999</v>
      </c>
      <c r="L9" s="14">
        <v>3631.9599609400002</v>
      </c>
    </row>
    <row r="10" spans="1:12" x14ac:dyDescent="0.3">
      <c r="A10" s="13">
        <v>42429</v>
      </c>
      <c r="B10" s="14">
        <v>2.1400001048999999</v>
      </c>
      <c r="C10" s="14">
        <v>27.6259994507</v>
      </c>
      <c r="D10" s="14">
        <v>7.2216291427600003</v>
      </c>
      <c r="E10" s="14">
        <v>42.640090942400001</v>
      </c>
      <c r="F10" s="14">
        <v>0.76594579219799996</v>
      </c>
      <c r="G10" s="14">
        <v>17.566858291599999</v>
      </c>
      <c r="H10" s="14">
        <v>57.210350036599998</v>
      </c>
      <c r="I10" s="14">
        <v>51.164260864299997</v>
      </c>
      <c r="J10" s="14">
        <v>18.314050674400001</v>
      </c>
      <c r="K10" s="14">
        <v>29.018041610699999</v>
      </c>
      <c r="L10" s="14">
        <v>3627.0600585900002</v>
      </c>
    </row>
    <row r="11" spans="1:12" x14ac:dyDescent="0.3">
      <c r="A11" s="13">
        <v>42460</v>
      </c>
      <c r="B11" s="14">
        <v>2.8499999046300002</v>
      </c>
      <c r="C11" s="14">
        <v>29.681999206499999</v>
      </c>
      <c r="D11" s="14">
        <v>7.79312515259</v>
      </c>
      <c r="E11" s="14">
        <v>44.851631164600001</v>
      </c>
      <c r="F11" s="14">
        <v>0.87023758888199998</v>
      </c>
      <c r="G11" s="14">
        <v>17.5490951538</v>
      </c>
      <c r="H11" s="14">
        <v>60.003410339399998</v>
      </c>
      <c r="I11" s="14">
        <v>53.360183715799998</v>
      </c>
      <c r="J11" s="14">
        <v>19.047557830799999</v>
      </c>
      <c r="K11" s="14">
        <v>30.9342689514</v>
      </c>
      <c r="L11" s="14">
        <v>3873.1101074200001</v>
      </c>
    </row>
    <row r="12" spans="1:12" x14ac:dyDescent="0.3">
      <c r="A12" s="13">
        <v>42490</v>
      </c>
      <c r="B12" s="14">
        <v>3.5499999523199999</v>
      </c>
      <c r="C12" s="14">
        <v>32.979499816900002</v>
      </c>
      <c r="D12" s="14">
        <v>7.9140982627899996</v>
      </c>
      <c r="E12" s="14">
        <v>48.220348358199999</v>
      </c>
      <c r="F12" s="14">
        <v>0.86779516935300005</v>
      </c>
      <c r="G12" s="14">
        <v>19.366762161299999</v>
      </c>
      <c r="H12" s="14">
        <v>57.976074218800001</v>
      </c>
      <c r="I12" s="14">
        <v>56.430675506599997</v>
      </c>
      <c r="J12" s="14">
        <v>18.597024917599999</v>
      </c>
      <c r="K12" s="14">
        <v>29.445734024</v>
      </c>
      <c r="L12" s="14">
        <v>3888.1298828099998</v>
      </c>
    </row>
    <row r="13" spans="1:12" x14ac:dyDescent="0.3">
      <c r="A13" s="13">
        <v>42521</v>
      </c>
      <c r="B13" s="14">
        <v>4.5700001716600003</v>
      </c>
      <c r="C13" s="14">
        <v>36.139499664299997</v>
      </c>
      <c r="D13" s="14">
        <v>7.8732414245599998</v>
      </c>
      <c r="E13" s="14">
        <v>49.799724578899998</v>
      </c>
      <c r="F13" s="14">
        <v>1.1440659761400001</v>
      </c>
      <c r="G13" s="14">
        <v>20.7289714813</v>
      </c>
      <c r="H13" s="14">
        <v>50.541522979699998</v>
      </c>
      <c r="I13" s="14">
        <v>57.304065704300001</v>
      </c>
      <c r="J13" s="14">
        <v>19.828552246099999</v>
      </c>
      <c r="K13" s="14">
        <v>29.422622680700002</v>
      </c>
      <c r="L13" s="14">
        <v>3957.9499511700001</v>
      </c>
    </row>
    <row r="14" spans="1:12" x14ac:dyDescent="0.3">
      <c r="A14" s="13">
        <v>42551</v>
      </c>
      <c r="B14" s="14">
        <v>5.1399998664900002</v>
      </c>
      <c r="C14" s="14">
        <v>35.780998230000002</v>
      </c>
      <c r="D14" s="14">
        <v>7.3362979888900002</v>
      </c>
      <c r="E14" s="14">
        <v>47.411586761499997</v>
      </c>
      <c r="F14" s="14">
        <v>1.15116751194</v>
      </c>
      <c r="G14" s="14">
        <v>21.033641815199999</v>
      </c>
      <c r="H14" s="14">
        <v>51.305728912399999</v>
      </c>
      <c r="I14" s="14">
        <v>60.342430114700001</v>
      </c>
      <c r="J14" s="14">
        <v>20.4560661316</v>
      </c>
      <c r="K14" s="14">
        <v>32.278175353999998</v>
      </c>
      <c r="L14" s="14">
        <v>3968.2099609400002</v>
      </c>
    </row>
    <row r="15" spans="1:12" x14ac:dyDescent="0.3">
      <c r="A15" s="13">
        <v>42582</v>
      </c>
      <c r="B15" s="14">
        <v>6.8600001335099998</v>
      </c>
      <c r="C15" s="14">
        <v>37.940498352100001</v>
      </c>
      <c r="D15" s="14">
        <v>7.4698414802600004</v>
      </c>
      <c r="E15" s="14">
        <v>49.1878013611</v>
      </c>
      <c r="F15" s="14">
        <v>1.3982490301099999</v>
      </c>
      <c r="G15" s="14">
        <v>22.0372276306</v>
      </c>
      <c r="H15" s="14">
        <v>55.354640960700003</v>
      </c>
      <c r="I15" s="14">
        <v>57.259017944299998</v>
      </c>
      <c r="J15" s="14">
        <v>20.442064285299999</v>
      </c>
      <c r="K15" s="14">
        <v>32.352966308600003</v>
      </c>
      <c r="L15" s="14">
        <v>4114.5097656199996</v>
      </c>
    </row>
    <row r="16" spans="1:12" x14ac:dyDescent="0.3">
      <c r="A16" s="13">
        <v>42613</v>
      </c>
      <c r="B16" s="14">
        <v>7.4000000953700003</v>
      </c>
      <c r="C16" s="14">
        <v>38.458000183099998</v>
      </c>
      <c r="D16" s="14">
        <v>7.4344387054399999</v>
      </c>
      <c r="E16" s="14">
        <v>51.902091980000002</v>
      </c>
      <c r="F16" s="14">
        <v>1.5048450231599999</v>
      </c>
      <c r="G16" s="14">
        <v>20.961523056000001</v>
      </c>
      <c r="H16" s="14">
        <v>51.989097595200001</v>
      </c>
      <c r="I16" s="14">
        <v>56.572212219199997</v>
      </c>
      <c r="J16" s="14">
        <v>20.150442123400001</v>
      </c>
      <c r="K16" s="14">
        <v>30.554611206099999</v>
      </c>
      <c r="L16" s="14">
        <v>4120.2900390599998</v>
      </c>
    </row>
    <row r="17" spans="1:12" x14ac:dyDescent="0.3">
      <c r="A17" s="13">
        <v>42643</v>
      </c>
      <c r="B17" s="14">
        <v>6.90999984741</v>
      </c>
      <c r="C17" s="14">
        <v>41.865501403800003</v>
      </c>
      <c r="D17" s="14">
        <v>7.1217198371899997</v>
      </c>
      <c r="E17" s="14">
        <v>51.202365875200002</v>
      </c>
      <c r="F17" s="14">
        <v>1.6809908151599999</v>
      </c>
      <c r="G17" s="14">
        <v>20.401346206700001</v>
      </c>
      <c r="H17" s="14">
        <v>50.870658874500002</v>
      </c>
      <c r="I17" s="14">
        <v>56.663089752200001</v>
      </c>
      <c r="J17" s="14">
        <v>20.342247009299999</v>
      </c>
      <c r="K17" s="14">
        <v>30.350257873499999</v>
      </c>
      <c r="L17" s="14">
        <v>4121.0600585900002</v>
      </c>
    </row>
    <row r="18" spans="1:12" x14ac:dyDescent="0.3">
      <c r="A18" s="13">
        <v>42674</v>
      </c>
      <c r="B18" s="14">
        <v>7.2300000190700002</v>
      </c>
      <c r="C18" s="14">
        <v>39.491001129200001</v>
      </c>
      <c r="D18" s="14">
        <v>7.0133085250900002</v>
      </c>
      <c r="E18" s="14">
        <v>53.642520904500003</v>
      </c>
      <c r="F18" s="14">
        <v>1.74575722218</v>
      </c>
      <c r="G18" s="14">
        <v>19.100286483800001</v>
      </c>
      <c r="H18" s="14">
        <v>50.907684326199998</v>
      </c>
      <c r="I18" s="14">
        <v>54.092208862299998</v>
      </c>
      <c r="J18" s="14">
        <v>19.749912261999999</v>
      </c>
      <c r="K18" s="14">
        <v>28.405071258500001</v>
      </c>
      <c r="L18" s="14">
        <v>4045.8898925799999</v>
      </c>
    </row>
    <row r="19" spans="1:12" x14ac:dyDescent="0.3">
      <c r="A19" s="13">
        <v>42704</v>
      </c>
      <c r="B19" s="14">
        <v>8.9099998474100008</v>
      </c>
      <c r="C19" s="14">
        <v>37.528499603299998</v>
      </c>
      <c r="D19" s="14">
        <v>7.1447358131399996</v>
      </c>
      <c r="E19" s="14">
        <v>62.092418670699999</v>
      </c>
      <c r="F19" s="14">
        <v>2.2653152942700001</v>
      </c>
      <c r="G19" s="14">
        <v>19.552370071399999</v>
      </c>
      <c r="H19" s="14">
        <v>57.696151733400001</v>
      </c>
      <c r="I19" s="14">
        <v>57.177932739299997</v>
      </c>
      <c r="J19" s="14">
        <v>19.865562439000001</v>
      </c>
      <c r="K19" s="14">
        <v>29.468044281000001</v>
      </c>
      <c r="L19" s="14">
        <v>4195.7299804699996</v>
      </c>
    </row>
    <row r="20" spans="1:12" x14ac:dyDescent="0.3">
      <c r="A20" s="13">
        <v>42735</v>
      </c>
      <c r="B20" s="14">
        <v>11.3400001526</v>
      </c>
      <c r="C20" s="14">
        <v>37.493499755899997</v>
      </c>
      <c r="D20" s="14">
        <v>7.24628973007</v>
      </c>
      <c r="E20" s="14">
        <v>66.8324050903</v>
      </c>
      <c r="F20" s="14">
        <v>2.6225559711500002</v>
      </c>
      <c r="G20" s="14">
        <v>19.7592086792</v>
      </c>
      <c r="H20" s="14">
        <v>53.953815460199998</v>
      </c>
      <c r="I20" s="14">
        <v>59.116611480700001</v>
      </c>
      <c r="J20" s="14">
        <v>19.635601043699999</v>
      </c>
      <c r="K20" s="14">
        <v>31.5231342316</v>
      </c>
      <c r="L20" s="14">
        <v>4278.66015625</v>
      </c>
    </row>
    <row r="21" spans="1:12" x14ac:dyDescent="0.3">
      <c r="A21" s="13">
        <v>42766</v>
      </c>
      <c r="B21" s="14">
        <v>10.3699998856</v>
      </c>
      <c r="C21" s="14">
        <v>41.173999786400003</v>
      </c>
      <c r="D21" s="14">
        <v>7.5026850700400001</v>
      </c>
      <c r="E21" s="14">
        <v>65.909423828100003</v>
      </c>
      <c r="F21" s="14">
        <v>2.6825065612799999</v>
      </c>
      <c r="G21" s="14">
        <v>19.302946090700001</v>
      </c>
      <c r="H21" s="14">
        <v>48.164779663099999</v>
      </c>
      <c r="I21" s="14">
        <v>54.944526672400002</v>
      </c>
      <c r="J21" s="14">
        <v>18.959487915</v>
      </c>
      <c r="K21" s="14">
        <v>29.251899719200001</v>
      </c>
      <c r="L21" s="14">
        <v>4359.8100585900002</v>
      </c>
    </row>
    <row r="22" spans="1:12" x14ac:dyDescent="0.3">
      <c r="A22" s="13">
        <v>42794</v>
      </c>
      <c r="B22" s="14">
        <v>14.4600000381</v>
      </c>
      <c r="C22" s="14">
        <v>42.2519989014</v>
      </c>
      <c r="D22" s="14">
        <v>7.6058773994399997</v>
      </c>
      <c r="E22" s="14">
        <v>70.574394226099997</v>
      </c>
      <c r="F22" s="14">
        <v>2.4964673519099998</v>
      </c>
      <c r="G22" s="14">
        <v>20.968374252299999</v>
      </c>
      <c r="H22" s="14">
        <v>44.303993225100001</v>
      </c>
      <c r="I22" s="14">
        <v>53.748317718499997</v>
      </c>
      <c r="J22" s="14">
        <v>20.149784088099999</v>
      </c>
      <c r="K22" s="14">
        <v>29.621953964199999</v>
      </c>
      <c r="L22" s="14">
        <v>4532.9301757800004</v>
      </c>
    </row>
    <row r="23" spans="1:12" x14ac:dyDescent="0.3">
      <c r="A23" s="13">
        <v>42825</v>
      </c>
      <c r="B23" s="14">
        <v>14.550000190700001</v>
      </c>
      <c r="C23" s="14">
        <v>44.326999664299997</v>
      </c>
      <c r="D23" s="14">
        <v>7.0656342506399996</v>
      </c>
      <c r="E23" s="14">
        <v>68.409347534199995</v>
      </c>
      <c r="F23" s="14">
        <v>2.67974185944</v>
      </c>
      <c r="G23" s="14">
        <v>21.023677825899998</v>
      </c>
      <c r="H23" s="14">
        <v>41.6051902771</v>
      </c>
      <c r="I23" s="14">
        <v>54.204364776600002</v>
      </c>
      <c r="J23" s="14">
        <v>20.627040863000001</v>
      </c>
      <c r="K23" s="14">
        <v>29.096729278600002</v>
      </c>
      <c r="L23" s="14">
        <v>4538.2099609400002</v>
      </c>
    </row>
    <row r="24" spans="1:12" x14ac:dyDescent="0.3">
      <c r="A24" s="13">
        <v>42855</v>
      </c>
      <c r="B24" s="14">
        <v>13.300000190700001</v>
      </c>
      <c r="C24" s="14">
        <v>46.249500274699997</v>
      </c>
      <c r="D24" s="14">
        <v>7.0562753677399996</v>
      </c>
      <c r="E24" s="14">
        <v>68.144462585400007</v>
      </c>
      <c r="F24" s="14">
        <v>2.5658400058700002</v>
      </c>
      <c r="G24" s="14">
        <v>20.8454608917</v>
      </c>
      <c r="H24" s="14">
        <v>42.102729797400002</v>
      </c>
      <c r="I24" s="14">
        <v>53.9664230347</v>
      </c>
      <c r="J24" s="14">
        <v>21.514158248899999</v>
      </c>
      <c r="K24" s="14">
        <v>27.728593826299999</v>
      </c>
      <c r="L24" s="14">
        <v>4584.8198242199996</v>
      </c>
    </row>
    <row r="25" spans="1:12" x14ac:dyDescent="0.3">
      <c r="A25" s="13">
        <v>42886</v>
      </c>
      <c r="B25" s="14">
        <v>11.1899995804</v>
      </c>
      <c r="C25" s="14">
        <v>49.730998992899998</v>
      </c>
      <c r="D25" s="14">
        <v>6.8409576416000002</v>
      </c>
      <c r="E25" s="14">
        <v>64.345619201700003</v>
      </c>
      <c r="F25" s="14">
        <v>3.5548343658400001</v>
      </c>
      <c r="G25" s="14">
        <v>20.259201049800001</v>
      </c>
      <c r="H25" s="14">
        <v>42.026935577400003</v>
      </c>
      <c r="I25" s="14">
        <v>53.708766937299998</v>
      </c>
      <c r="J25" s="14">
        <v>22.643379211399999</v>
      </c>
      <c r="K25" s="14">
        <v>28.169504165599999</v>
      </c>
      <c r="L25" s="14">
        <v>4649.33984375</v>
      </c>
    </row>
    <row r="26" spans="1:12" x14ac:dyDescent="0.3">
      <c r="A26" s="13">
        <v>42916</v>
      </c>
      <c r="B26" s="14">
        <v>12.4799995422</v>
      </c>
      <c r="C26" s="14">
        <v>48.400001525900002</v>
      </c>
      <c r="D26" s="14">
        <v>6.8840217590300004</v>
      </c>
      <c r="E26" s="14">
        <v>71.590850830099996</v>
      </c>
      <c r="F26" s="14">
        <v>3.5600056648299998</v>
      </c>
      <c r="G26" s="14">
        <v>20.8424720764</v>
      </c>
      <c r="H26" s="14">
        <v>39.847492217999999</v>
      </c>
      <c r="I26" s="14">
        <v>53.862239837600001</v>
      </c>
      <c r="J26" s="14">
        <v>21.802171707199999</v>
      </c>
      <c r="K26" s="14">
        <v>26.973625183100001</v>
      </c>
      <c r="L26" s="14">
        <v>4678.3598632800004</v>
      </c>
    </row>
    <row r="27" spans="1:12" x14ac:dyDescent="0.3">
      <c r="A27" s="13">
        <v>42947</v>
      </c>
      <c r="B27" s="14">
        <v>13.609999656699999</v>
      </c>
      <c r="C27" s="14">
        <v>49.388999939000001</v>
      </c>
      <c r="D27" s="14">
        <v>6.9911217689500003</v>
      </c>
      <c r="E27" s="14">
        <v>72.299652099599996</v>
      </c>
      <c r="F27" s="14">
        <v>4.0020523071299996</v>
      </c>
      <c r="G27" s="14">
        <v>20.575660705600001</v>
      </c>
      <c r="H27" s="14">
        <v>43.185241699199999</v>
      </c>
      <c r="I27" s="14">
        <v>53.401874542199998</v>
      </c>
      <c r="J27" s="14">
        <v>23.043819427500001</v>
      </c>
      <c r="K27" s="14">
        <v>29.615882873499999</v>
      </c>
      <c r="L27" s="14">
        <v>4774.5600585900002</v>
      </c>
    </row>
    <row r="28" spans="1:12" x14ac:dyDescent="0.3">
      <c r="A28" s="13">
        <v>42978</v>
      </c>
      <c r="B28" s="14">
        <v>13</v>
      </c>
      <c r="C28" s="14">
        <v>49.029998779300001</v>
      </c>
      <c r="D28" s="14">
        <v>6.8727335929900004</v>
      </c>
      <c r="E28" s="14">
        <v>71.582977294900004</v>
      </c>
      <c r="F28" s="14">
        <v>4.1763877868700003</v>
      </c>
      <c r="G28" s="14">
        <v>21.252819061299999</v>
      </c>
      <c r="H28" s="14">
        <v>42.022644043</v>
      </c>
      <c r="I28" s="14">
        <v>51.4202232361</v>
      </c>
      <c r="J28" s="14">
        <v>22.6321620941</v>
      </c>
      <c r="K28" s="14">
        <v>29.3527698517</v>
      </c>
      <c r="L28" s="14">
        <v>4789.1801757800004</v>
      </c>
    </row>
    <row r="29" spans="1:12" x14ac:dyDescent="0.3">
      <c r="A29" s="13">
        <v>43008</v>
      </c>
      <c r="B29" s="14">
        <v>12.75</v>
      </c>
      <c r="C29" s="14">
        <v>48.0675010681</v>
      </c>
      <c r="D29" s="14">
        <v>7.4584436416599997</v>
      </c>
      <c r="E29" s="14">
        <v>75.221595764200003</v>
      </c>
      <c r="F29" s="14">
        <v>4.4063539504999998</v>
      </c>
      <c r="G29" s="14">
        <v>22.3680934906</v>
      </c>
      <c r="H29" s="14">
        <v>45.475082397500003</v>
      </c>
      <c r="I29" s="14">
        <v>55.226364135700003</v>
      </c>
      <c r="J29" s="14">
        <v>22.652454376200001</v>
      </c>
      <c r="K29" s="14">
        <v>30.282871246300001</v>
      </c>
      <c r="L29" s="14">
        <v>4887.9702148400002</v>
      </c>
    </row>
    <row r="30" spans="1:12" x14ac:dyDescent="0.3">
      <c r="A30" s="13">
        <v>43039</v>
      </c>
      <c r="B30" s="14">
        <v>10.989999771100001</v>
      </c>
      <c r="C30" s="14">
        <v>55.263999939000001</v>
      </c>
      <c r="D30" s="14">
        <v>7.74030351639</v>
      </c>
      <c r="E30" s="14">
        <v>79.701423645000006</v>
      </c>
      <c r="F30" s="14">
        <v>5.0974903106699996</v>
      </c>
      <c r="G30" s="14">
        <v>21.967096328699999</v>
      </c>
      <c r="H30" s="14">
        <v>45.498214721700002</v>
      </c>
      <c r="I30" s="14">
        <v>56.149284362800003</v>
      </c>
      <c r="J30" s="14">
        <v>25.3108005524</v>
      </c>
      <c r="K30" s="14">
        <v>29.642978668200001</v>
      </c>
      <c r="L30" s="14">
        <v>5002.0297851599998</v>
      </c>
    </row>
    <row r="31" spans="1:12" x14ac:dyDescent="0.3">
      <c r="A31" s="13">
        <v>43069</v>
      </c>
      <c r="B31" s="14">
        <v>10.890000343300001</v>
      </c>
      <c r="C31" s="14">
        <v>58.837501525900002</v>
      </c>
      <c r="D31" s="14">
        <v>7.8980164527900003</v>
      </c>
      <c r="E31" s="14">
        <v>82.798843383800005</v>
      </c>
      <c r="F31" s="14">
        <v>4.9505729675300003</v>
      </c>
      <c r="G31" s="14">
        <v>22.926567077600001</v>
      </c>
      <c r="H31" s="14">
        <v>46.639698028600002</v>
      </c>
      <c r="I31" s="14">
        <v>56.628147125200002</v>
      </c>
      <c r="J31" s="14">
        <v>28.186561584500001</v>
      </c>
      <c r="K31" s="14">
        <v>31.513084411600001</v>
      </c>
      <c r="L31" s="14">
        <v>5155.4399414099998</v>
      </c>
    </row>
    <row r="32" spans="1:12" x14ac:dyDescent="0.3">
      <c r="A32" s="13">
        <v>43100</v>
      </c>
      <c r="B32" s="14">
        <v>10.279999733</v>
      </c>
      <c r="C32" s="14">
        <v>58.473499298100002</v>
      </c>
      <c r="D32" s="14">
        <v>7.8790864944500001</v>
      </c>
      <c r="E32" s="14">
        <v>84.715911865199999</v>
      </c>
      <c r="F32" s="14">
        <v>4.7727360725399999</v>
      </c>
      <c r="G32" s="14">
        <v>22.901277542100001</v>
      </c>
      <c r="H32" s="14">
        <v>50.805347442600002</v>
      </c>
      <c r="I32" s="14">
        <v>56.866104126000003</v>
      </c>
      <c r="J32" s="14">
        <v>28.7780761719</v>
      </c>
      <c r="K32" s="14">
        <v>32.776336669899997</v>
      </c>
      <c r="L32" s="14">
        <v>5212.7597656199996</v>
      </c>
    </row>
    <row r="33" spans="1:12" x14ac:dyDescent="0.3">
      <c r="A33" s="13">
        <v>43131</v>
      </c>
      <c r="B33" s="14">
        <v>13.739999771100001</v>
      </c>
      <c r="C33" s="14">
        <v>72.5445022583</v>
      </c>
      <c r="D33" s="14">
        <v>7.0906434059099999</v>
      </c>
      <c r="E33" s="14">
        <v>92.109008789100002</v>
      </c>
      <c r="F33" s="14">
        <v>6.0627317428599996</v>
      </c>
      <c r="G33" s="14">
        <v>23.419746398899999</v>
      </c>
      <c r="H33" s="14">
        <v>58.568244934100001</v>
      </c>
      <c r="I33" s="14">
        <v>59.354503631599997</v>
      </c>
      <c r="J33" s="14">
        <v>31.0657539368</v>
      </c>
      <c r="K33" s="14">
        <v>33.8636322021</v>
      </c>
      <c r="L33" s="14">
        <v>5511.2099609400002</v>
      </c>
    </row>
    <row r="34" spans="1:12" x14ac:dyDescent="0.3">
      <c r="A34" s="13">
        <v>43159</v>
      </c>
      <c r="B34" s="14">
        <v>12.109999656699999</v>
      </c>
      <c r="C34" s="14">
        <v>75.622497558600003</v>
      </c>
      <c r="D34" s="14">
        <v>6.8579506874099998</v>
      </c>
      <c r="E34" s="14">
        <v>91.9736328125</v>
      </c>
      <c r="F34" s="14">
        <v>5.9727120399500002</v>
      </c>
      <c r="G34" s="14">
        <v>23.170867919900001</v>
      </c>
      <c r="H34" s="14">
        <v>59.201065063500003</v>
      </c>
      <c r="I34" s="14">
        <v>52.021541595499997</v>
      </c>
      <c r="J34" s="14">
        <v>26.2310371399</v>
      </c>
      <c r="K34" s="14">
        <v>29.899202346799999</v>
      </c>
      <c r="L34" s="14">
        <v>5308.08984375</v>
      </c>
    </row>
    <row r="35" spans="1:12" x14ac:dyDescent="0.3">
      <c r="A35" s="13">
        <v>43190</v>
      </c>
      <c r="B35" s="14">
        <v>10.050000190700001</v>
      </c>
      <c r="C35" s="14">
        <v>72.366996765099998</v>
      </c>
      <c r="D35" s="14">
        <v>7.1617441177399996</v>
      </c>
      <c r="E35" s="14">
        <v>87.570068359399997</v>
      </c>
      <c r="F35" s="14">
        <v>5.7157859802199997</v>
      </c>
      <c r="G35" s="14">
        <v>22.6475963593</v>
      </c>
      <c r="H35" s="14">
        <v>54.506431579599997</v>
      </c>
      <c r="I35" s="14">
        <v>51.245407104500003</v>
      </c>
      <c r="J35" s="14">
        <v>26.082538604700002</v>
      </c>
      <c r="K35" s="14">
        <v>29.949300766</v>
      </c>
      <c r="L35" s="14">
        <v>5173.1899414099998</v>
      </c>
    </row>
    <row r="36" spans="1:12" x14ac:dyDescent="0.3">
      <c r="A36" s="13">
        <v>43220</v>
      </c>
      <c r="B36" s="14">
        <v>10.8800001144</v>
      </c>
      <c r="C36" s="14">
        <v>78.306503295900001</v>
      </c>
      <c r="D36" s="14">
        <v>7.3626379966700002</v>
      </c>
      <c r="E36" s="14">
        <v>87.061706543</v>
      </c>
      <c r="F36" s="14">
        <v>5.5506720542899997</v>
      </c>
      <c r="G36" s="14">
        <v>23.362310409500001</v>
      </c>
      <c r="H36" s="14">
        <v>56.995052337600001</v>
      </c>
      <c r="I36" s="14">
        <v>53.402103424099998</v>
      </c>
      <c r="J36" s="14">
        <v>25.933027267500002</v>
      </c>
      <c r="K36" s="14">
        <v>31.296426773099999</v>
      </c>
      <c r="L36" s="14">
        <v>5193.0400390599998</v>
      </c>
    </row>
    <row r="37" spans="1:12" x14ac:dyDescent="0.3">
      <c r="A37" s="13">
        <v>43251</v>
      </c>
      <c r="B37" s="14">
        <v>13.7299995422</v>
      </c>
      <c r="C37" s="14">
        <v>81.481002807600007</v>
      </c>
      <c r="D37" s="14">
        <v>7.5656991004899998</v>
      </c>
      <c r="E37" s="14">
        <v>85.645103454600005</v>
      </c>
      <c r="F37" s="14">
        <v>6.2280569076500001</v>
      </c>
      <c r="G37" s="14">
        <v>23.152198791499998</v>
      </c>
      <c r="H37" s="14">
        <v>57.713554382300003</v>
      </c>
      <c r="I37" s="14">
        <v>56.364753723100002</v>
      </c>
      <c r="J37" s="14">
        <v>24.349950790400001</v>
      </c>
      <c r="K37" s="14">
        <v>30.2310142517</v>
      </c>
      <c r="L37" s="14">
        <v>5318.1000976599998</v>
      </c>
    </row>
    <row r="38" spans="1:12" x14ac:dyDescent="0.3">
      <c r="A38" s="13">
        <v>43281</v>
      </c>
      <c r="B38" s="14">
        <v>14.989999771100001</v>
      </c>
      <c r="C38" s="14">
        <v>84.989997863799999</v>
      </c>
      <c r="D38" s="14">
        <v>7.2512826919600002</v>
      </c>
      <c r="E38" s="14">
        <v>83.396141052199994</v>
      </c>
      <c r="F38" s="14">
        <v>5.8504567146299999</v>
      </c>
      <c r="G38" s="14">
        <v>23.377725601200002</v>
      </c>
      <c r="H38" s="14">
        <v>60.271049499500002</v>
      </c>
      <c r="I38" s="14">
        <v>57.3985328674</v>
      </c>
      <c r="J38" s="14">
        <v>25.267425537099999</v>
      </c>
      <c r="K38" s="14">
        <v>31.905241012600001</v>
      </c>
      <c r="L38" s="14">
        <v>5350.8300781199996</v>
      </c>
    </row>
    <row r="39" spans="1:12" x14ac:dyDescent="0.3">
      <c r="A39" s="13">
        <v>43312</v>
      </c>
      <c r="B39" s="14">
        <v>18.329999923700001</v>
      </c>
      <c r="C39" s="14">
        <v>88.872001647900007</v>
      </c>
      <c r="D39" s="14">
        <v>6.6690444946299996</v>
      </c>
      <c r="E39" s="14">
        <v>92.499801635699995</v>
      </c>
      <c r="F39" s="14">
        <v>6.0470361709600002</v>
      </c>
      <c r="G39" s="14">
        <v>25.729671478299998</v>
      </c>
      <c r="H39" s="14">
        <v>63.881587982200003</v>
      </c>
      <c r="I39" s="14">
        <v>56.552093505899997</v>
      </c>
      <c r="J39" s="14">
        <v>26.323553085299999</v>
      </c>
      <c r="K39" s="14">
        <v>33.128368377699999</v>
      </c>
      <c r="L39" s="14">
        <v>5549.9599609400002</v>
      </c>
    </row>
    <row r="40" spans="1:12" x14ac:dyDescent="0.3">
      <c r="A40" s="13">
        <v>43343</v>
      </c>
      <c r="B40" s="14">
        <v>25.170000076299999</v>
      </c>
      <c r="C40" s="14">
        <v>100.635498047</v>
      </c>
      <c r="D40" s="14">
        <v>6.2970662116999998</v>
      </c>
      <c r="E40" s="14">
        <v>92.202064514200003</v>
      </c>
      <c r="F40" s="14">
        <v>6.9354329109200004</v>
      </c>
      <c r="G40" s="14">
        <v>26.982030868500001</v>
      </c>
      <c r="H40" s="14">
        <v>69.826202392599996</v>
      </c>
      <c r="I40" s="14">
        <v>56.196105957</v>
      </c>
      <c r="J40" s="14">
        <v>28.4437065125</v>
      </c>
      <c r="K40" s="14">
        <v>34.879714965799998</v>
      </c>
      <c r="L40" s="14">
        <v>5730.7998046900002</v>
      </c>
    </row>
    <row r="41" spans="1:12" x14ac:dyDescent="0.3">
      <c r="A41" s="13">
        <v>43373</v>
      </c>
      <c r="B41" s="14">
        <v>30.8899993896</v>
      </c>
      <c r="C41" s="14">
        <v>100.150001526</v>
      </c>
      <c r="D41" s="14">
        <v>6.1442894935599996</v>
      </c>
      <c r="E41" s="14">
        <v>90.801879882799994</v>
      </c>
      <c r="F41" s="14">
        <v>6.9438357353200004</v>
      </c>
      <c r="G41" s="14">
        <v>28.639165878299998</v>
      </c>
      <c r="H41" s="14">
        <v>70.392784118700007</v>
      </c>
      <c r="I41" s="14">
        <v>59.595764160199998</v>
      </c>
      <c r="J41" s="14">
        <v>27.8651046753</v>
      </c>
      <c r="K41" s="14">
        <v>34.251037597699998</v>
      </c>
      <c r="L41" s="14">
        <v>5763.4199218800004</v>
      </c>
    </row>
    <row r="42" spans="1:12" x14ac:dyDescent="0.3">
      <c r="A42" s="13">
        <v>43404</v>
      </c>
      <c r="B42" s="14">
        <v>18.209999084500001</v>
      </c>
      <c r="C42" s="14">
        <v>79.900497436500004</v>
      </c>
      <c r="D42" s="14">
        <v>6.4575214385999997</v>
      </c>
      <c r="E42" s="14">
        <v>88.342292785599994</v>
      </c>
      <c r="F42" s="14">
        <v>5.2094836234999997</v>
      </c>
      <c r="G42" s="14">
        <v>27.982809066800002</v>
      </c>
      <c r="H42" s="14">
        <v>66.737869262700002</v>
      </c>
      <c r="I42" s="14">
        <v>55.852622985799997</v>
      </c>
      <c r="J42" s="14">
        <v>29.7552204132</v>
      </c>
      <c r="K42" s="14">
        <v>37.030513763400002</v>
      </c>
      <c r="L42" s="14">
        <v>5369.4902343800004</v>
      </c>
    </row>
    <row r="43" spans="1:12" x14ac:dyDescent="0.3">
      <c r="A43" s="13">
        <v>43434</v>
      </c>
      <c r="B43" s="14">
        <v>21.2999992371</v>
      </c>
      <c r="C43" s="14">
        <v>84.508499145499997</v>
      </c>
      <c r="D43" s="14">
        <v>6.3628544807400003</v>
      </c>
      <c r="E43" s="14">
        <v>90.100730896000002</v>
      </c>
      <c r="F43" s="14">
        <v>4.0422973632800003</v>
      </c>
      <c r="G43" s="14">
        <v>30.274686813399999</v>
      </c>
      <c r="H43" s="14">
        <v>57.096786498999997</v>
      </c>
      <c r="I43" s="14">
        <v>56.291351318399997</v>
      </c>
      <c r="J43" s="14">
        <v>28.974832534800001</v>
      </c>
      <c r="K43" s="14">
        <v>39.112621307399998</v>
      </c>
      <c r="L43" s="14">
        <v>5478.91015625</v>
      </c>
    </row>
    <row r="44" spans="1:12" x14ac:dyDescent="0.3">
      <c r="A44" s="13">
        <v>43465</v>
      </c>
      <c r="B44" s="14">
        <v>18.459999084500001</v>
      </c>
      <c r="C44" s="14">
        <v>75.098503112800003</v>
      </c>
      <c r="D44" s="14">
        <v>5.1727776527399998</v>
      </c>
      <c r="E44" s="14">
        <v>79.1045379639</v>
      </c>
      <c r="F44" s="14">
        <v>3.3020057678199999</v>
      </c>
      <c r="G44" s="14">
        <v>28.585107803300001</v>
      </c>
      <c r="H44" s="14">
        <v>53.178230285600002</v>
      </c>
      <c r="I44" s="14">
        <v>48.283123016399998</v>
      </c>
      <c r="J44" s="14">
        <v>27.7904243469</v>
      </c>
      <c r="K44" s="14">
        <v>36.466197967500001</v>
      </c>
      <c r="L44" s="14">
        <v>4984.2202148400002</v>
      </c>
    </row>
    <row r="45" spans="1:12" x14ac:dyDescent="0.3">
      <c r="A45" s="13">
        <v>43496</v>
      </c>
      <c r="B45" s="14">
        <v>24.409999847400002</v>
      </c>
      <c r="C45" s="14">
        <v>85.936500549300007</v>
      </c>
      <c r="D45" s="14">
        <v>6.0540504455599997</v>
      </c>
      <c r="E45" s="14">
        <v>84.550354003899997</v>
      </c>
      <c r="F45" s="14">
        <v>3.5555295944199998</v>
      </c>
      <c r="G45" s="14">
        <v>28.0420627594</v>
      </c>
      <c r="H45" s="14">
        <v>58.738254547099999</v>
      </c>
      <c r="I45" s="14">
        <v>51.887184143100001</v>
      </c>
      <c r="J45" s="14">
        <v>28.589981079099999</v>
      </c>
      <c r="K45" s="14">
        <v>36.086513519299999</v>
      </c>
      <c r="L45" s="14">
        <v>5383.6298828099998</v>
      </c>
    </row>
    <row r="46" spans="1:12" x14ac:dyDescent="0.3">
      <c r="A46" s="13">
        <v>43524</v>
      </c>
      <c r="B46" s="14">
        <v>23.530000686600001</v>
      </c>
      <c r="C46" s="14">
        <v>81.991500854500003</v>
      </c>
      <c r="D46" s="14">
        <v>6.0334129333500002</v>
      </c>
      <c r="E46" s="14">
        <v>85.2529296875</v>
      </c>
      <c r="F46" s="14">
        <v>3.8194181919100001</v>
      </c>
      <c r="G46" s="14">
        <v>28.6365947723</v>
      </c>
      <c r="H46" s="14">
        <v>58.966693878199997</v>
      </c>
      <c r="I46" s="14">
        <v>56.579845428500001</v>
      </c>
      <c r="J46" s="14">
        <v>29.5327358246</v>
      </c>
      <c r="K46" s="14">
        <v>37.305572509800001</v>
      </c>
      <c r="L46" s="14">
        <v>5556.4902343800004</v>
      </c>
    </row>
    <row r="47" spans="1:12" x14ac:dyDescent="0.3">
      <c r="A47" s="13">
        <v>43555</v>
      </c>
      <c r="B47" s="14">
        <v>25.520000457799998</v>
      </c>
      <c r="C47" s="14">
        <v>89.037498474100005</v>
      </c>
      <c r="D47" s="14">
        <v>6.0402913093599997</v>
      </c>
      <c r="E47" s="14">
        <v>82.695968627900001</v>
      </c>
      <c r="F47" s="14">
        <v>4.44583702087</v>
      </c>
      <c r="G47" s="14">
        <v>28.055274963399999</v>
      </c>
      <c r="H47" s="14">
        <v>65.15234375</v>
      </c>
      <c r="I47" s="14">
        <v>57.847019195599998</v>
      </c>
      <c r="J47" s="14">
        <v>29.2537231445</v>
      </c>
      <c r="K47" s="14">
        <v>38.754013061499997</v>
      </c>
      <c r="L47" s="14">
        <v>5664.4599609400002</v>
      </c>
    </row>
    <row r="48" spans="1:12" x14ac:dyDescent="0.3">
      <c r="A48" s="13">
        <v>43585</v>
      </c>
      <c r="B48" s="14">
        <v>27.629999160800001</v>
      </c>
      <c r="C48" s="14">
        <v>96.325996398900003</v>
      </c>
      <c r="D48" s="14">
        <v>7.3045196533199999</v>
      </c>
      <c r="E48" s="14">
        <v>95.528030395499997</v>
      </c>
      <c r="F48" s="14">
        <v>4.4814887046800003</v>
      </c>
      <c r="G48" s="14">
        <v>26.8265800476</v>
      </c>
      <c r="H48" s="14">
        <v>62.846927642799997</v>
      </c>
      <c r="I48" s="14">
        <v>57.474746704099999</v>
      </c>
      <c r="J48" s="14">
        <v>30.8464260101</v>
      </c>
      <c r="K48" s="14">
        <v>37.868709564200003</v>
      </c>
      <c r="L48" s="14">
        <v>5893.8100585900002</v>
      </c>
    </row>
    <row r="49" spans="1:12" x14ac:dyDescent="0.3">
      <c r="A49" s="13">
        <v>43616</v>
      </c>
      <c r="B49" s="14">
        <v>27.409999847400002</v>
      </c>
      <c r="C49" s="14">
        <v>88.753501892100005</v>
      </c>
      <c r="D49" s="14">
        <v>6.65445327759</v>
      </c>
      <c r="E49" s="14">
        <v>87.222290039100002</v>
      </c>
      <c r="F49" s="14">
        <v>3.3577649593399999</v>
      </c>
      <c r="G49" s="14">
        <v>27.6709823608</v>
      </c>
      <c r="H49" s="14">
        <v>65.894943237299998</v>
      </c>
      <c r="I49" s="14">
        <v>51.247028350800001</v>
      </c>
      <c r="J49" s="14">
        <v>30.588138580300001</v>
      </c>
      <c r="K49" s="14">
        <v>35.9881858826</v>
      </c>
      <c r="L49" s="14">
        <v>5519.2700195300004</v>
      </c>
    </row>
    <row r="50" spans="1:12" x14ac:dyDescent="0.3">
      <c r="A50" s="13">
        <v>43646</v>
      </c>
      <c r="B50" s="14">
        <v>30.370000839199999</v>
      </c>
      <c r="C50" s="14">
        <v>94.681503295900001</v>
      </c>
      <c r="D50" s="14">
        <v>7.1507396698000001</v>
      </c>
      <c r="E50" s="14">
        <v>92.029586792000003</v>
      </c>
      <c r="F50" s="14">
        <v>4.0709137916599998</v>
      </c>
      <c r="G50" s="14">
        <v>28.87059021</v>
      </c>
      <c r="H50" s="14">
        <v>70.940452575699993</v>
      </c>
      <c r="I50" s="14">
        <v>55.490467071499999</v>
      </c>
      <c r="J50" s="14">
        <v>33.317077636699999</v>
      </c>
      <c r="K50" s="14">
        <v>37.828979492199998</v>
      </c>
      <c r="L50" s="14">
        <v>5908.25</v>
      </c>
    </row>
    <row r="51" spans="1:12" x14ac:dyDescent="0.3">
      <c r="A51" s="13">
        <v>43677</v>
      </c>
      <c r="B51" s="14">
        <v>30.4500007629</v>
      </c>
      <c r="C51" s="14">
        <v>93.338996887199997</v>
      </c>
      <c r="D51" s="14">
        <v>6.7608671188400002</v>
      </c>
      <c r="E51" s="14">
        <v>96.162872314500007</v>
      </c>
      <c r="F51" s="14">
        <v>4.1822099685699996</v>
      </c>
      <c r="G51" s="14">
        <v>25.8848896027</v>
      </c>
      <c r="H51" s="14">
        <v>70.768463134800001</v>
      </c>
      <c r="I51" s="14">
        <v>53.846664428700002</v>
      </c>
      <c r="J51" s="14">
        <v>33.283905029300001</v>
      </c>
      <c r="K51" s="14">
        <v>36.982589721700002</v>
      </c>
      <c r="L51" s="14">
        <v>5993.1699218800004</v>
      </c>
    </row>
    <row r="52" spans="1:12" x14ac:dyDescent="0.3">
      <c r="A52" s="13">
        <v>43708</v>
      </c>
      <c r="B52" s="14">
        <v>31.4500007629</v>
      </c>
      <c r="C52" s="14">
        <v>88.8144989014</v>
      </c>
      <c r="D52" s="14">
        <v>6.5054712295500003</v>
      </c>
      <c r="E52" s="14">
        <v>91.072898864699994</v>
      </c>
      <c r="F52" s="14">
        <v>4.1563272476200002</v>
      </c>
      <c r="G52" s="14">
        <v>23.913925170900001</v>
      </c>
      <c r="H52" s="14">
        <v>88.347732543899994</v>
      </c>
      <c r="I52" s="14">
        <v>50.205337524400001</v>
      </c>
      <c r="J52" s="14">
        <v>34.623470306400002</v>
      </c>
      <c r="K52" s="14">
        <v>38.916374206500002</v>
      </c>
      <c r="L52" s="14">
        <v>5898.2299804699996</v>
      </c>
    </row>
    <row r="53" spans="1:12" x14ac:dyDescent="0.3">
      <c r="A53" s="13">
        <v>43738</v>
      </c>
      <c r="B53" s="14">
        <v>28.989999771099999</v>
      </c>
      <c r="C53" s="14">
        <v>86.795501709000007</v>
      </c>
      <c r="D53" s="14">
        <v>6.4983768463100002</v>
      </c>
      <c r="E53" s="14">
        <v>97.563880920399995</v>
      </c>
      <c r="F53" s="14">
        <v>4.3190956115699999</v>
      </c>
      <c r="G53" s="14">
        <v>24.1695480347</v>
      </c>
      <c r="H53" s="14">
        <v>88.240432739300005</v>
      </c>
      <c r="I53" s="14">
        <v>51.766921997099999</v>
      </c>
      <c r="J53" s="14">
        <v>35.962837219199997</v>
      </c>
      <c r="K53" s="14">
        <v>40.388450622599997</v>
      </c>
      <c r="L53" s="14">
        <v>6008.58984375</v>
      </c>
    </row>
    <row r="54" spans="1:12" x14ac:dyDescent="0.3">
      <c r="A54" s="13">
        <v>43769</v>
      </c>
      <c r="B54" s="14">
        <v>33.930000305199997</v>
      </c>
      <c r="C54" s="14">
        <v>88.833000183099998</v>
      </c>
      <c r="D54" s="14">
        <v>6.19401311874</v>
      </c>
      <c r="E54" s="14">
        <v>104.387046814</v>
      </c>
      <c r="F54" s="14">
        <v>4.9877910614000003</v>
      </c>
      <c r="G54" s="14">
        <v>25.810899734500001</v>
      </c>
      <c r="H54" s="14">
        <v>88.240432739300005</v>
      </c>
      <c r="I54" s="14">
        <v>49.538173675499998</v>
      </c>
      <c r="J54" s="14">
        <v>35.532539367699997</v>
      </c>
      <c r="K54" s="14">
        <v>40.883060455299997</v>
      </c>
      <c r="L54" s="14">
        <v>6138.7299804699996</v>
      </c>
    </row>
    <row r="55" spans="1:12" x14ac:dyDescent="0.3">
      <c r="A55" s="13">
        <v>43799</v>
      </c>
      <c r="B55" s="14">
        <v>39.150001525900002</v>
      </c>
      <c r="C55" s="14">
        <v>90.040000915500002</v>
      </c>
      <c r="D55" s="14">
        <v>6.5329189300500001</v>
      </c>
      <c r="E55" s="14">
        <v>110.102760315</v>
      </c>
      <c r="F55" s="14">
        <v>5.3818111419700001</v>
      </c>
      <c r="G55" s="14">
        <v>26.162225723300001</v>
      </c>
      <c r="H55" s="14">
        <v>103.79148864699999</v>
      </c>
      <c r="I55" s="14">
        <v>50.5511054993</v>
      </c>
      <c r="J55" s="14">
        <v>36.087070465099998</v>
      </c>
      <c r="K55" s="14">
        <v>40.7275619507</v>
      </c>
      <c r="L55" s="14">
        <v>6361.5600585900002</v>
      </c>
    </row>
    <row r="56" spans="1:12" x14ac:dyDescent="0.3">
      <c r="A56" s="13">
        <v>43830</v>
      </c>
      <c r="B56" s="14">
        <v>45.8600006104</v>
      </c>
      <c r="C56" s="14">
        <v>92.391998290999993</v>
      </c>
      <c r="D56" s="14">
        <v>6.70597648621</v>
      </c>
      <c r="E56" s="14">
        <v>116.486961365</v>
      </c>
      <c r="F56" s="14">
        <v>5.8426675796499996</v>
      </c>
      <c r="G56" s="14">
        <v>26.610477447499999</v>
      </c>
      <c r="H56" s="14">
        <v>106.44833374</v>
      </c>
      <c r="I56" s="14">
        <v>51.775379180900003</v>
      </c>
      <c r="J56" s="14">
        <v>36.172836303700002</v>
      </c>
      <c r="K56" s="14">
        <v>41.511825561499997</v>
      </c>
      <c r="L56" s="14">
        <v>6553.5698242199996</v>
      </c>
    </row>
    <row r="57" spans="1:12" x14ac:dyDescent="0.3">
      <c r="A57" s="13">
        <v>43861</v>
      </c>
      <c r="B57" s="14">
        <v>47</v>
      </c>
      <c r="C57" s="14">
        <v>100.435997009</v>
      </c>
      <c r="D57" s="14">
        <v>6.4680218696600003</v>
      </c>
      <c r="E57" s="14">
        <v>111.31420135499999</v>
      </c>
      <c r="F57" s="14">
        <v>5.8707265853899999</v>
      </c>
      <c r="G57" s="14">
        <v>25.551235199000001</v>
      </c>
      <c r="H57" s="14">
        <v>91.943588256799998</v>
      </c>
      <c r="I57" s="14">
        <v>46.091812133799998</v>
      </c>
      <c r="J57" s="14">
        <v>34.848781585700003</v>
      </c>
      <c r="K57" s="14">
        <v>40.6049118042</v>
      </c>
      <c r="L57" s="14">
        <v>6551</v>
      </c>
    </row>
    <row r="58" spans="1:12" x14ac:dyDescent="0.3">
      <c r="A58" s="13">
        <v>43890</v>
      </c>
      <c r="B58" s="14">
        <v>45.479999542199998</v>
      </c>
      <c r="C58" s="14">
        <v>94.1875</v>
      </c>
      <c r="D58" s="14">
        <v>5.1040172576899998</v>
      </c>
      <c r="E58" s="14">
        <v>97.648025512700002</v>
      </c>
      <c r="F58" s="14">
        <v>6.7100434303299998</v>
      </c>
      <c r="G58" s="14">
        <v>22.9302425385</v>
      </c>
      <c r="H58" s="14">
        <v>86.004058837900004</v>
      </c>
      <c r="I58" s="14">
        <v>38.715415954599997</v>
      </c>
      <c r="J58" s="14">
        <v>32.775928497300001</v>
      </c>
      <c r="K58" s="14">
        <v>36.998016357399997</v>
      </c>
      <c r="L58" s="14">
        <v>6011.7299804699996</v>
      </c>
    </row>
    <row r="59" spans="1:12" x14ac:dyDescent="0.3">
      <c r="A59" s="13">
        <v>43921</v>
      </c>
      <c r="B59" s="14">
        <v>45.479999542199998</v>
      </c>
      <c r="C59" s="14">
        <v>97.486000060999999</v>
      </c>
      <c r="D59" s="14">
        <v>3.5420114994</v>
      </c>
      <c r="E59" s="14">
        <v>75.714851379400002</v>
      </c>
      <c r="F59" s="14">
        <v>6.5492939949000002</v>
      </c>
      <c r="G59" s="14">
        <v>22.395069122300001</v>
      </c>
      <c r="H59" s="14">
        <v>77.629081726099997</v>
      </c>
      <c r="I59" s="14">
        <v>28.5774497986</v>
      </c>
      <c r="J59" s="14">
        <v>34.736999511699999</v>
      </c>
      <c r="K59" s="14">
        <v>36.704280853299998</v>
      </c>
      <c r="L59" s="14">
        <v>5269.2001953099998</v>
      </c>
    </row>
    <row r="60" spans="1:12" x14ac:dyDescent="0.3">
      <c r="A60" s="13">
        <v>43951</v>
      </c>
      <c r="B60" s="14">
        <v>52.3899993896</v>
      </c>
      <c r="C60" s="14">
        <v>123.69999694800001</v>
      </c>
      <c r="D60" s="14">
        <v>3.7326784133899999</v>
      </c>
      <c r="E60" s="14">
        <v>81.370620727499997</v>
      </c>
      <c r="F60" s="14">
        <v>7.2618641853300003</v>
      </c>
      <c r="G60" s="14">
        <v>26.3196868896</v>
      </c>
      <c r="H60" s="14">
        <v>91.631866455099996</v>
      </c>
      <c r="I60" s="14">
        <v>34.974826812700002</v>
      </c>
      <c r="J60" s="14">
        <v>37.1614341736</v>
      </c>
      <c r="K60" s="14">
        <v>39.667560577400003</v>
      </c>
      <c r="L60" s="14">
        <v>5944.6801757800004</v>
      </c>
    </row>
    <row r="61" spans="1:12" x14ac:dyDescent="0.3">
      <c r="A61" s="13">
        <v>43982</v>
      </c>
      <c r="B61" s="14">
        <v>53.799999237100003</v>
      </c>
      <c r="C61" s="14">
        <v>122.11849975600001</v>
      </c>
      <c r="D61" s="14">
        <v>4.1873478889499998</v>
      </c>
      <c r="E61" s="14">
        <v>82.687705993700007</v>
      </c>
      <c r="F61" s="14">
        <v>8.8206758499099998</v>
      </c>
      <c r="G61" s="14">
        <v>26.464187622099999</v>
      </c>
      <c r="H61" s="14">
        <v>102.68572998</v>
      </c>
      <c r="I61" s="14">
        <v>34.885746002200001</v>
      </c>
      <c r="J61" s="14">
        <v>38.095649719199997</v>
      </c>
      <c r="K61" s="14">
        <v>39.619232177699999</v>
      </c>
      <c r="L61" s="14">
        <v>6227.8100585900002</v>
      </c>
    </row>
    <row r="62" spans="1:12" x14ac:dyDescent="0.3">
      <c r="A62" s="13">
        <v>44012</v>
      </c>
      <c r="B62" s="14">
        <v>52.6100006104</v>
      </c>
      <c r="C62" s="14">
        <v>137.94099426299999</v>
      </c>
      <c r="D62" s="14">
        <v>4.4586811065700003</v>
      </c>
      <c r="E62" s="14">
        <v>79.926071167000003</v>
      </c>
      <c r="F62" s="14">
        <v>9.4433870315600004</v>
      </c>
      <c r="G62" s="14">
        <v>22.6598300934</v>
      </c>
      <c r="H62" s="14">
        <v>100.67112731899999</v>
      </c>
      <c r="I62" s="14">
        <v>34.310329437299998</v>
      </c>
      <c r="J62" s="14">
        <v>36.781372070300002</v>
      </c>
      <c r="K62" s="14">
        <v>38.065681457499998</v>
      </c>
      <c r="L62" s="14">
        <v>6351.6699218800004</v>
      </c>
    </row>
    <row r="63" spans="1:12" x14ac:dyDescent="0.3">
      <c r="A63" s="13">
        <v>44043</v>
      </c>
      <c r="B63" s="14">
        <v>77.430000305199997</v>
      </c>
      <c r="C63" s="14">
        <v>158.23399352999999</v>
      </c>
      <c r="D63" s="14">
        <v>4.8473486900299996</v>
      </c>
      <c r="E63" s="14">
        <v>82.918586731000005</v>
      </c>
      <c r="F63" s="14">
        <v>10.553993225099999</v>
      </c>
      <c r="G63" s="14">
        <v>26.9257583618</v>
      </c>
      <c r="H63" s="14">
        <v>105.66566467299999</v>
      </c>
      <c r="I63" s="14">
        <v>32.284847259499998</v>
      </c>
      <c r="J63" s="14">
        <v>39.735435485799997</v>
      </c>
      <c r="K63" s="14">
        <v>40.133972168</v>
      </c>
      <c r="L63" s="14">
        <v>6709.8100585900002</v>
      </c>
    </row>
    <row r="64" spans="1:12" x14ac:dyDescent="0.3">
      <c r="A64" s="13">
        <v>44074</v>
      </c>
      <c r="B64" s="14">
        <v>90.819999694800003</v>
      </c>
      <c r="C64" s="14">
        <v>172.54800415</v>
      </c>
      <c r="D64" s="14">
        <v>5.0013508796700004</v>
      </c>
      <c r="E64" s="14">
        <v>85.964546203599994</v>
      </c>
      <c r="F64" s="14">
        <v>13.2979516983</v>
      </c>
      <c r="G64" s="14">
        <v>26.442947387699999</v>
      </c>
      <c r="H64" s="14">
        <v>127.555511475</v>
      </c>
      <c r="I64" s="14">
        <v>31.247505188000002</v>
      </c>
      <c r="J64" s="14">
        <v>42.8125724792</v>
      </c>
      <c r="K64" s="14">
        <v>41.383800506599997</v>
      </c>
      <c r="L64" s="14">
        <v>7192.1098632800004</v>
      </c>
    </row>
    <row r="65" spans="1:12" x14ac:dyDescent="0.3">
      <c r="A65" s="13">
        <v>44104</v>
      </c>
      <c r="B65" s="14">
        <v>81.989997863799999</v>
      </c>
      <c r="C65" s="14">
        <v>157.43649292000001</v>
      </c>
      <c r="D65" s="14">
        <v>4.8840150833099996</v>
      </c>
      <c r="E65" s="14">
        <v>82.601112365700004</v>
      </c>
      <c r="F65" s="14">
        <v>13.457081794700001</v>
      </c>
      <c r="G65" s="14">
        <v>25.6802310944</v>
      </c>
      <c r="H65" s="14">
        <v>132.794067383</v>
      </c>
      <c r="I65" s="14">
        <v>26.858463287399999</v>
      </c>
      <c r="J65" s="14">
        <v>43.139419555700002</v>
      </c>
      <c r="K65" s="14">
        <v>41.5374107361</v>
      </c>
      <c r="L65" s="14">
        <v>6918.8300781199996</v>
      </c>
    </row>
    <row r="66" spans="1:12" x14ac:dyDescent="0.3">
      <c r="A66" s="13">
        <v>44135</v>
      </c>
      <c r="B66" s="14">
        <v>75.290000915500002</v>
      </c>
      <c r="C66" s="14">
        <v>151.807495117</v>
      </c>
      <c r="D66" s="14">
        <v>5.6686849594100002</v>
      </c>
      <c r="E66" s="14">
        <v>84.900382995599998</v>
      </c>
      <c r="F66" s="14">
        <v>12.4659900665</v>
      </c>
      <c r="G66" s="14">
        <v>24.8265571594</v>
      </c>
      <c r="H66" s="14">
        <v>128.407470703</v>
      </c>
      <c r="I66" s="14">
        <v>25.520620346099999</v>
      </c>
      <c r="J66" s="14">
        <v>42.781745910600002</v>
      </c>
      <c r="K66" s="14">
        <v>40.215522766100001</v>
      </c>
      <c r="L66" s="14">
        <v>6734.83984375</v>
      </c>
    </row>
    <row r="67" spans="1:12" x14ac:dyDescent="0.3">
      <c r="A67" s="13">
        <v>44165</v>
      </c>
      <c r="B67" s="14">
        <v>92.660003662099996</v>
      </c>
      <c r="C67" s="14">
        <v>158.40199279800001</v>
      </c>
      <c r="D67" s="14">
        <v>6.6586894989000003</v>
      </c>
      <c r="E67" s="14">
        <v>102.081359863</v>
      </c>
      <c r="F67" s="14">
        <v>13.3287801743</v>
      </c>
      <c r="G67" s="14">
        <v>28.5449466705</v>
      </c>
      <c r="H67" s="14">
        <v>152.07130432100001</v>
      </c>
      <c r="I67" s="14">
        <v>30.5511646271</v>
      </c>
      <c r="J67" s="14">
        <v>47.110790252699999</v>
      </c>
      <c r="K67" s="14">
        <v>42.628875732399997</v>
      </c>
      <c r="L67" s="14">
        <v>7472.0600585900002</v>
      </c>
    </row>
    <row r="68" spans="1:12" x14ac:dyDescent="0.3">
      <c r="A68" s="13">
        <v>44196</v>
      </c>
      <c r="B68" s="14">
        <v>91.709999084499998</v>
      </c>
      <c r="C68" s="14">
        <v>162.84649658199999</v>
      </c>
      <c r="D68" s="14">
        <v>6.4460191726699998</v>
      </c>
      <c r="E68" s="14">
        <v>110.03970336899999</v>
      </c>
      <c r="F68" s="14">
        <v>12.9879980087</v>
      </c>
      <c r="G68" s="14">
        <v>27.4272899628</v>
      </c>
      <c r="H68" s="14">
        <v>149.53013610799999</v>
      </c>
      <c r="I68" s="14">
        <v>33.026988983199999</v>
      </c>
      <c r="J68" s="14">
        <v>44.609222412100003</v>
      </c>
      <c r="K68" s="14">
        <v>41.457485198999997</v>
      </c>
      <c r="L68" s="14">
        <v>7759.3500976599998</v>
      </c>
    </row>
    <row r="69" spans="1:12" x14ac:dyDescent="0.3">
      <c r="A69" s="13">
        <v>44227</v>
      </c>
      <c r="B69" s="14">
        <v>85.639999389600007</v>
      </c>
      <c r="C69" s="14">
        <v>160.30999755900001</v>
      </c>
      <c r="D69" s="14">
        <v>7.7220244407700003</v>
      </c>
      <c r="E69" s="14">
        <v>112.22769928</v>
      </c>
      <c r="F69" s="14">
        <v>12.9230823517</v>
      </c>
      <c r="G69" s="14">
        <v>27.040241241499999</v>
      </c>
      <c r="H69" s="14">
        <v>153.46041870100001</v>
      </c>
      <c r="I69" s="14">
        <v>35.9274559021</v>
      </c>
      <c r="J69" s="14">
        <v>43.476593017600003</v>
      </c>
      <c r="K69" s="14">
        <v>39.048442840600003</v>
      </c>
      <c r="L69" s="14">
        <v>7681.0097656199996</v>
      </c>
    </row>
    <row r="70" spans="1:12" x14ac:dyDescent="0.3">
      <c r="A70" s="13">
        <v>44255</v>
      </c>
      <c r="B70" s="14">
        <v>84.510002136200001</v>
      </c>
      <c r="C70" s="14">
        <v>154.64649963400001</v>
      </c>
      <c r="D70" s="14">
        <v>8.5800285339400002</v>
      </c>
      <c r="E70" s="14">
        <v>128.363647461</v>
      </c>
      <c r="F70" s="14">
        <v>13.6441144943</v>
      </c>
      <c r="G70" s="14">
        <v>25.225008010900002</v>
      </c>
      <c r="H70" s="14">
        <v>155.93716430699999</v>
      </c>
      <c r="I70" s="14">
        <v>44.303047180199997</v>
      </c>
      <c r="J70" s="14">
        <v>40.205566406199999</v>
      </c>
      <c r="K70" s="14">
        <v>39.440715789800002</v>
      </c>
      <c r="L70" s="14">
        <v>7892.8100585900002</v>
      </c>
    </row>
    <row r="71" spans="1:12" x14ac:dyDescent="0.3">
      <c r="A71" s="13">
        <v>44286</v>
      </c>
      <c r="B71" s="14">
        <v>78.5</v>
      </c>
      <c r="C71" s="14">
        <v>154.70399475100001</v>
      </c>
      <c r="D71" s="14">
        <v>8.9833612441999993</v>
      </c>
      <c r="E71" s="14">
        <v>132.777053833</v>
      </c>
      <c r="F71" s="14">
        <v>13.2843294144</v>
      </c>
      <c r="G71" s="14">
        <v>27.288803100599999</v>
      </c>
      <c r="H71" s="14">
        <v>168.37371826200001</v>
      </c>
      <c r="I71" s="14">
        <v>45.492713928199997</v>
      </c>
      <c r="J71" s="14">
        <v>42.209991455100003</v>
      </c>
      <c r="K71" s="14">
        <v>41.473373413099999</v>
      </c>
      <c r="L71" s="14">
        <v>8238.48046875</v>
      </c>
    </row>
    <row r="72" spans="1:12" x14ac:dyDescent="0.3">
      <c r="A72" s="13">
        <v>44316</v>
      </c>
      <c r="B72" s="14">
        <v>81.620002746599994</v>
      </c>
      <c r="C72" s="14">
        <v>173.371002197</v>
      </c>
      <c r="D72" s="14">
        <v>8.4626941680899996</v>
      </c>
      <c r="E72" s="14">
        <v>134.9453125</v>
      </c>
      <c r="F72" s="14">
        <v>14.937620163</v>
      </c>
      <c r="G72" s="14">
        <v>29.1115703583</v>
      </c>
      <c r="H72" s="14">
        <v>176.18588256800001</v>
      </c>
      <c r="I72" s="14">
        <v>46.6416473389</v>
      </c>
      <c r="J72" s="14">
        <v>43.477882385299999</v>
      </c>
      <c r="K72" s="14">
        <v>41.6600379944</v>
      </c>
      <c r="L72" s="14">
        <v>8678.16015625</v>
      </c>
    </row>
    <row r="73" spans="1:12" x14ac:dyDescent="0.3">
      <c r="A73" s="13">
        <v>44347</v>
      </c>
      <c r="B73" s="14">
        <v>80.080001831100006</v>
      </c>
      <c r="C73" s="14">
        <v>161.15350341800001</v>
      </c>
      <c r="D73" s="14">
        <v>10.655367851299999</v>
      </c>
      <c r="E73" s="14">
        <v>144.09605407699999</v>
      </c>
      <c r="F73" s="14">
        <v>16.166709899899999</v>
      </c>
      <c r="G73" s="14">
        <v>29.459274292</v>
      </c>
      <c r="H73" s="14">
        <v>193.52488708499999</v>
      </c>
      <c r="I73" s="14">
        <v>48.255317687999998</v>
      </c>
      <c r="J73" s="14">
        <v>44.310012817400001</v>
      </c>
      <c r="K73" s="14">
        <v>40.722892761200001</v>
      </c>
      <c r="L73" s="14">
        <v>8738.76953125</v>
      </c>
    </row>
    <row r="74" spans="1:12" x14ac:dyDescent="0.3">
      <c r="A74" s="13">
        <v>44377</v>
      </c>
      <c r="B74" s="14">
        <v>93.930000305199997</v>
      </c>
      <c r="C74" s="14">
        <v>172.00799560499999</v>
      </c>
      <c r="D74" s="14">
        <v>10.8973674774</v>
      </c>
      <c r="E74" s="14">
        <v>136.46311950699999</v>
      </c>
      <c r="F74" s="14">
        <v>19.911272049000001</v>
      </c>
      <c r="G74" s="14">
        <v>29.786342620799999</v>
      </c>
      <c r="H74" s="14">
        <v>206.16387939500001</v>
      </c>
      <c r="I74" s="14">
        <v>52.1491355896</v>
      </c>
      <c r="J74" s="14">
        <v>43.994907379200001</v>
      </c>
      <c r="K74" s="14">
        <v>40.391284942600002</v>
      </c>
      <c r="L74" s="14">
        <v>8942.7802734399993</v>
      </c>
    </row>
    <row r="75" spans="1:12" x14ac:dyDescent="0.3">
      <c r="A75" s="13">
        <v>44408</v>
      </c>
      <c r="B75" s="14">
        <v>106.190002441</v>
      </c>
      <c r="C75" s="14">
        <v>166.37950134299999</v>
      </c>
      <c r="D75" s="14">
        <v>10.230032920799999</v>
      </c>
      <c r="E75" s="14">
        <v>133.931640625</v>
      </c>
      <c r="F75" s="14">
        <v>19.410064697300001</v>
      </c>
      <c r="G75" s="14">
        <v>32.857563018800001</v>
      </c>
      <c r="H75" s="14">
        <v>222.63206481899999</v>
      </c>
      <c r="I75" s="14">
        <v>47.5939331055</v>
      </c>
      <c r="J75" s="14">
        <v>44.4722366333</v>
      </c>
      <c r="K75" s="14">
        <v>40.662792205800002</v>
      </c>
      <c r="L75" s="14">
        <v>9155.2099609399993</v>
      </c>
    </row>
    <row r="76" spans="1:12" x14ac:dyDescent="0.3">
      <c r="A76" s="13">
        <v>44439</v>
      </c>
      <c r="B76" s="14">
        <v>110.720001221</v>
      </c>
      <c r="C76" s="14">
        <v>173.539505005</v>
      </c>
      <c r="D76" s="14">
        <v>9.5553665161100003</v>
      </c>
      <c r="E76" s="14">
        <v>141.140914917</v>
      </c>
      <c r="F76" s="14">
        <v>22.286834716800001</v>
      </c>
      <c r="G76" s="14">
        <v>35.359695434599999</v>
      </c>
      <c r="H76" s="14">
        <v>211.35559082</v>
      </c>
      <c r="I76" s="14">
        <v>45.7546691895</v>
      </c>
      <c r="J76" s="14">
        <v>46.373733520499997</v>
      </c>
      <c r="K76" s="14">
        <v>40.094188690199999</v>
      </c>
      <c r="L76" s="14">
        <v>9433.5800781199996</v>
      </c>
    </row>
    <row r="77" spans="1:12" x14ac:dyDescent="0.3">
      <c r="A77" s="13">
        <v>44469</v>
      </c>
      <c r="B77" s="14">
        <v>102.900001526</v>
      </c>
      <c r="C77" s="14">
        <v>164.25199890100001</v>
      </c>
      <c r="D77" s="14">
        <v>10.3840360641</v>
      </c>
      <c r="E77" s="14">
        <v>144.44108581500001</v>
      </c>
      <c r="F77" s="14">
        <v>20.625152587900001</v>
      </c>
      <c r="G77" s="14">
        <v>33.011081695599998</v>
      </c>
      <c r="H77" s="14">
        <v>195.772247314</v>
      </c>
      <c r="I77" s="14">
        <v>49.363338470499997</v>
      </c>
      <c r="J77" s="14">
        <v>43.643287658699997</v>
      </c>
      <c r="K77" s="14">
        <v>39.3724899292</v>
      </c>
      <c r="L77" s="14">
        <v>8994.8300781199996</v>
      </c>
    </row>
    <row r="78" spans="1:12" x14ac:dyDescent="0.3">
      <c r="A78" s="13">
        <v>44500</v>
      </c>
      <c r="B78" s="14">
        <v>120.230003357</v>
      </c>
      <c r="C78" s="14">
        <v>168.62150573700001</v>
      </c>
      <c r="D78" s="14">
        <v>12.5253744125</v>
      </c>
      <c r="E78" s="14">
        <v>150.81541442899999</v>
      </c>
      <c r="F78" s="14">
        <v>25.454879760699999</v>
      </c>
      <c r="G78" s="14">
        <v>33.571372985799997</v>
      </c>
      <c r="H78" s="14">
        <v>222.17237854000001</v>
      </c>
      <c r="I78" s="14">
        <v>54.104980468800001</v>
      </c>
      <c r="J78" s="14">
        <v>46.787048339800002</v>
      </c>
      <c r="K78" s="14">
        <v>39.087680816700001</v>
      </c>
      <c r="L78" s="14">
        <v>9625.01953125</v>
      </c>
    </row>
    <row r="79" spans="1:12" x14ac:dyDescent="0.3">
      <c r="A79" s="13">
        <v>44530</v>
      </c>
      <c r="B79" s="14">
        <v>158.369995117</v>
      </c>
      <c r="C79" s="14">
        <v>175.35350036599999</v>
      </c>
      <c r="D79" s="14">
        <v>14.1435699463</v>
      </c>
      <c r="E79" s="14">
        <v>140.997192383</v>
      </c>
      <c r="F79" s="14">
        <v>32.532707214399998</v>
      </c>
      <c r="G79" s="14">
        <v>41.600891113300001</v>
      </c>
      <c r="H79" s="14">
        <v>209.38143920900001</v>
      </c>
      <c r="I79" s="14">
        <v>50.894268035899998</v>
      </c>
      <c r="J79" s="14">
        <v>44.034687042199998</v>
      </c>
      <c r="K79" s="14">
        <v>37.081287383999999</v>
      </c>
      <c r="L79" s="14">
        <v>9558.3300781199996</v>
      </c>
    </row>
    <row r="80" spans="1:12" x14ac:dyDescent="0.3">
      <c r="A80" s="13">
        <v>44561</v>
      </c>
      <c r="B80" s="14">
        <v>143.89999389600001</v>
      </c>
      <c r="C80" s="14">
        <v>166.716995239</v>
      </c>
      <c r="D80" s="14">
        <v>15.308075904800001</v>
      </c>
      <c r="E80" s="14">
        <v>140.571044922</v>
      </c>
      <c r="F80" s="14">
        <v>29.2856121063</v>
      </c>
      <c r="G80" s="14">
        <v>45.719936370799999</v>
      </c>
      <c r="H80" s="14">
        <v>198.733764648</v>
      </c>
      <c r="I80" s="14">
        <v>52.042457580600001</v>
      </c>
      <c r="J80" s="14">
        <v>45.488391876199998</v>
      </c>
      <c r="K80" s="14">
        <v>38.3279190063</v>
      </c>
      <c r="L80" s="14">
        <v>9986.7001953100007</v>
      </c>
    </row>
    <row r="81" spans="1:12" x14ac:dyDescent="0.3">
      <c r="A81" s="13">
        <v>44592</v>
      </c>
      <c r="B81" s="14">
        <v>114.25</v>
      </c>
      <c r="C81" s="14">
        <v>149.57350158700001</v>
      </c>
      <c r="D81" s="14">
        <v>15.0385980606</v>
      </c>
      <c r="E81" s="14">
        <v>132.70648193400001</v>
      </c>
      <c r="F81" s="14">
        <v>24.3816051483</v>
      </c>
      <c r="G81" s="14">
        <v>41.105838775599999</v>
      </c>
      <c r="H81" s="14">
        <v>189.27963256800001</v>
      </c>
      <c r="I81" s="14">
        <v>64.604415893600006</v>
      </c>
      <c r="J81" s="14">
        <v>43.954189300499998</v>
      </c>
      <c r="K81" s="14">
        <v>39.737785339399998</v>
      </c>
      <c r="L81" s="14">
        <v>9469.9199218800004</v>
      </c>
    </row>
    <row r="82" spans="1:12" x14ac:dyDescent="0.3">
      <c r="A82" s="13">
        <v>44620</v>
      </c>
      <c r="B82" s="14">
        <v>123.33999633800001</v>
      </c>
      <c r="C82" s="14">
        <v>153.56300354000001</v>
      </c>
      <c r="D82" s="14">
        <v>13.0087575912</v>
      </c>
      <c r="E82" s="14">
        <v>126.63378906200001</v>
      </c>
      <c r="F82" s="14">
        <v>24.281038284299999</v>
      </c>
      <c r="G82" s="14">
        <v>36.6199989319</v>
      </c>
      <c r="H82" s="14">
        <v>172.282669067</v>
      </c>
      <c r="I82" s="14">
        <v>67.436073303200004</v>
      </c>
      <c r="J82" s="14">
        <v>42.492301940899999</v>
      </c>
      <c r="K82" s="14">
        <v>40.066257476799997</v>
      </c>
      <c r="L82" s="14">
        <v>9186.3701171899993</v>
      </c>
    </row>
    <row r="83" spans="1:12" x14ac:dyDescent="0.3">
      <c r="A83" s="13">
        <v>44651</v>
      </c>
      <c r="B83" s="14">
        <v>109.33999633800001</v>
      </c>
      <c r="C83" s="14">
        <v>162.99749755900001</v>
      </c>
      <c r="D83" s="14">
        <v>12.5272254944</v>
      </c>
      <c r="E83" s="14">
        <v>121.739891052</v>
      </c>
      <c r="F83" s="14">
        <v>27.174299240100002</v>
      </c>
      <c r="G83" s="14">
        <v>40.388107299799998</v>
      </c>
      <c r="H83" s="14">
        <v>183.019607544</v>
      </c>
      <c r="I83" s="14">
        <v>71.021972656200006</v>
      </c>
      <c r="J83" s="14">
        <v>46.999320983899999</v>
      </c>
      <c r="K83" s="14">
        <v>38.028236389200003</v>
      </c>
      <c r="L83" s="14">
        <v>9527.4599609399993</v>
      </c>
    </row>
    <row r="84" spans="1:12" x14ac:dyDescent="0.3">
      <c r="A84" s="13">
        <v>44681</v>
      </c>
      <c r="B84" s="14">
        <v>85.519996643100001</v>
      </c>
      <c r="C84" s="14">
        <v>124.28150177000001</v>
      </c>
      <c r="D84" s="14">
        <v>10.559770584100001</v>
      </c>
      <c r="E84" s="14">
        <v>107.38394928</v>
      </c>
      <c r="F84" s="14">
        <v>18.4710769653</v>
      </c>
      <c r="G84" s="14">
        <v>38.281715393100001</v>
      </c>
      <c r="H84" s="14">
        <v>197.18887329099999</v>
      </c>
      <c r="I84" s="14">
        <v>73.309410095199993</v>
      </c>
      <c r="J84" s="14">
        <v>48.283817291299997</v>
      </c>
      <c r="K84" s="14">
        <v>34.985206603999998</v>
      </c>
      <c r="L84" s="14">
        <v>8696.6503906199996</v>
      </c>
    </row>
    <row r="85" spans="1:12" x14ac:dyDescent="0.3">
      <c r="A85" s="13">
        <v>44712</v>
      </c>
      <c r="B85" s="14">
        <v>101.86000061</v>
      </c>
      <c r="C85" s="14">
        <v>120.20950317400001</v>
      </c>
      <c r="D85" s="14">
        <v>10.2018136978</v>
      </c>
      <c r="E85" s="14">
        <v>118.962593079</v>
      </c>
      <c r="F85" s="14">
        <v>18.595563888499999</v>
      </c>
      <c r="G85" s="14">
        <v>41.716327667199998</v>
      </c>
      <c r="H85" s="14">
        <v>140.18153381299999</v>
      </c>
      <c r="I85" s="14">
        <v>83.399322509800001</v>
      </c>
      <c r="J85" s="14">
        <v>40.743339538599997</v>
      </c>
      <c r="K85" s="14">
        <v>38.755756378199997</v>
      </c>
      <c r="L85" s="14">
        <v>8712.5996093800004</v>
      </c>
    </row>
    <row r="86" spans="1:12" x14ac:dyDescent="0.3">
      <c r="A86" s="13">
        <v>44742</v>
      </c>
      <c r="B86" s="14">
        <v>76.470001220699999</v>
      </c>
      <c r="C86" s="14">
        <v>106.209999084</v>
      </c>
      <c r="D86" s="14">
        <v>8.3001575469999995</v>
      </c>
      <c r="E86" s="14">
        <v>101.311203003</v>
      </c>
      <c r="F86" s="14">
        <v>15.100135803200001</v>
      </c>
      <c r="G86" s="14">
        <v>41.236560821499999</v>
      </c>
      <c r="H86" s="14">
        <v>122.29947662399999</v>
      </c>
      <c r="I86" s="14">
        <v>74.399131774899999</v>
      </c>
      <c r="J86" s="14">
        <v>38.510261535600002</v>
      </c>
      <c r="K86" s="14">
        <v>38.347721099899999</v>
      </c>
      <c r="L86" s="14">
        <v>7993.4301757800004</v>
      </c>
    </row>
    <row r="87" spans="1:12" x14ac:dyDescent="0.3">
      <c r="A87" s="13">
        <v>44773</v>
      </c>
      <c r="B87" s="14">
        <v>94.470001220699999</v>
      </c>
      <c r="C87" s="14">
        <v>134.94999694800001</v>
      </c>
      <c r="D87" s="14">
        <v>10.9550151825</v>
      </c>
      <c r="E87" s="14">
        <v>104.703330994</v>
      </c>
      <c r="F87" s="14">
        <v>18.092468261699999</v>
      </c>
      <c r="G87" s="14">
        <v>40.034732818599998</v>
      </c>
      <c r="H87" s="14">
        <v>141.48049926799999</v>
      </c>
      <c r="I87" s="14">
        <v>84.207244872999993</v>
      </c>
      <c r="J87" s="14">
        <v>41.826614379900001</v>
      </c>
      <c r="K87" s="14">
        <v>35.341197967500001</v>
      </c>
      <c r="L87" s="14">
        <v>8730.4599609399993</v>
      </c>
    </row>
    <row r="88" spans="1:12" x14ac:dyDescent="0.3">
      <c r="A88" s="13">
        <v>44804</v>
      </c>
      <c r="B88" s="14">
        <v>84.870002746599994</v>
      </c>
      <c r="C88" s="14">
        <v>126.769996643</v>
      </c>
      <c r="D88" s="14">
        <v>11.4785270691</v>
      </c>
      <c r="E88" s="14">
        <v>103.223907471</v>
      </c>
      <c r="F88" s="14">
        <v>15.035386085500001</v>
      </c>
      <c r="G88" s="14">
        <v>35.849750518800001</v>
      </c>
      <c r="H88" s="14">
        <v>139.718261719</v>
      </c>
      <c r="I88" s="14">
        <v>83.849998474100005</v>
      </c>
      <c r="J88" s="14">
        <v>42.167846679699998</v>
      </c>
      <c r="K88" s="14">
        <v>31.989946365400002</v>
      </c>
      <c r="L88" s="14">
        <v>8374.4199218800004</v>
      </c>
    </row>
    <row r="89" spans="1:12" x14ac:dyDescent="0.3">
      <c r="A89" s="13">
        <v>44834</v>
      </c>
      <c r="B89" s="14">
        <v>63.3600006104</v>
      </c>
      <c r="C89" s="14">
        <v>113</v>
      </c>
      <c r="D89" s="14">
        <v>8.4356632232699997</v>
      </c>
      <c r="E89" s="14">
        <v>94.846557617200006</v>
      </c>
      <c r="F89" s="14">
        <v>12.095454216</v>
      </c>
      <c r="G89" s="14">
        <v>34.684612274199999</v>
      </c>
      <c r="H89" s="14">
        <v>129.305175781</v>
      </c>
      <c r="I89" s="14">
        <v>76.586929321300005</v>
      </c>
      <c r="J89" s="14">
        <v>41.261180877699999</v>
      </c>
      <c r="K89" s="14">
        <v>29.051855087300002</v>
      </c>
      <c r="L89" s="14">
        <v>7603.1401367199996</v>
      </c>
    </row>
    <row r="90" spans="1:12" x14ac:dyDescent="0.3">
      <c r="A90" s="13">
        <v>44865</v>
      </c>
      <c r="B90" s="14">
        <v>60.060001373299997</v>
      </c>
      <c r="C90" s="14">
        <v>102.440002441</v>
      </c>
      <c r="D90" s="14">
        <v>10.070073127700001</v>
      </c>
      <c r="E90" s="14">
        <v>115.273704529</v>
      </c>
      <c r="F90" s="14">
        <v>13.448585510299999</v>
      </c>
      <c r="G90" s="14">
        <v>36.895988464399998</v>
      </c>
      <c r="H90" s="14">
        <v>143.12538147000001</v>
      </c>
      <c r="I90" s="14">
        <v>97.2007522583</v>
      </c>
      <c r="J90" s="14">
        <v>45.279136657700001</v>
      </c>
      <c r="K90" s="14">
        <v>29.074647903399999</v>
      </c>
      <c r="L90" s="14">
        <v>8218.7001953100007</v>
      </c>
    </row>
    <row r="91" spans="1:12" x14ac:dyDescent="0.3">
      <c r="A91" s="13">
        <v>44895</v>
      </c>
      <c r="B91" s="14">
        <v>77.629997253400006</v>
      </c>
      <c r="C91" s="14">
        <v>96.540000915500002</v>
      </c>
      <c r="D91" s="14">
        <v>10.578692436200001</v>
      </c>
      <c r="E91" s="14">
        <v>126.537338257</v>
      </c>
      <c r="F91" s="14">
        <v>16.8666057587</v>
      </c>
      <c r="G91" s="14">
        <v>40.074081420900001</v>
      </c>
      <c r="H91" s="14">
        <v>146.49588012699999</v>
      </c>
      <c r="I91" s="14">
        <v>98.451881408700004</v>
      </c>
      <c r="J91" s="14">
        <v>48.4890518188</v>
      </c>
      <c r="K91" s="14">
        <v>30.3272666931</v>
      </c>
      <c r="L91" s="14">
        <v>8678</v>
      </c>
    </row>
    <row r="92" spans="1:12" x14ac:dyDescent="0.3">
      <c r="A92" s="13">
        <v>44926</v>
      </c>
      <c r="B92" s="14">
        <v>64.769996643100001</v>
      </c>
      <c r="C92" s="14">
        <v>84</v>
      </c>
      <c r="D92" s="14">
        <v>8.8510942459099997</v>
      </c>
      <c r="E92" s="14">
        <v>122.801116943</v>
      </c>
      <c r="F92" s="14">
        <v>14.5653009415</v>
      </c>
      <c r="G92" s="14">
        <v>40.9614219666</v>
      </c>
      <c r="H92" s="14">
        <v>130.686157227</v>
      </c>
      <c r="I92" s="14">
        <v>97.532264709499998</v>
      </c>
      <c r="J92" s="14">
        <v>45.277397155800003</v>
      </c>
      <c r="K92" s="14">
        <v>30.654037475599999</v>
      </c>
      <c r="L92" s="14">
        <v>8178.0200195300004</v>
      </c>
    </row>
    <row r="93" spans="1:12" x14ac:dyDescent="0.3">
      <c r="A93" s="13">
        <v>44957</v>
      </c>
      <c r="B93" s="14">
        <v>75.150001525899995</v>
      </c>
      <c r="C93" s="14">
        <v>103.129997253</v>
      </c>
      <c r="D93" s="14">
        <v>10.2818822861</v>
      </c>
      <c r="E93" s="14">
        <v>129.114105225</v>
      </c>
      <c r="F93" s="14">
        <v>19.471900939899999</v>
      </c>
      <c r="G93" s="14">
        <v>35.625724792500002</v>
      </c>
      <c r="H93" s="14">
        <v>150.941497803</v>
      </c>
      <c r="I93" s="14">
        <v>102.58132171600001</v>
      </c>
      <c r="J93" s="14">
        <v>45.941593170200001</v>
      </c>
      <c r="K93" s="14">
        <v>32.850788116499999</v>
      </c>
      <c r="L93" s="14">
        <v>8691.8798828100007</v>
      </c>
    </row>
    <row r="94" spans="1:12" x14ac:dyDescent="0.3">
      <c r="A94" s="13">
        <v>44985</v>
      </c>
      <c r="B94" s="14">
        <v>78.580001831100006</v>
      </c>
      <c r="C94" s="14">
        <v>94.230003356899999</v>
      </c>
      <c r="D94" s="14">
        <v>9.7650575637799992</v>
      </c>
      <c r="E94" s="14">
        <v>132.24140930199999</v>
      </c>
      <c r="F94" s="14">
        <v>23.1386375427</v>
      </c>
      <c r="G94" s="14">
        <v>32.7295379639</v>
      </c>
      <c r="H94" s="14">
        <v>148.67620849599999</v>
      </c>
      <c r="I94" s="14">
        <v>97.935249328599994</v>
      </c>
      <c r="J94" s="14">
        <v>45.385967254599997</v>
      </c>
      <c r="K94" s="14">
        <v>30.669694900500001</v>
      </c>
      <c r="L94" s="14">
        <v>8479.7998046899993</v>
      </c>
    </row>
    <row r="95" spans="1:12" x14ac:dyDescent="0.3">
      <c r="A95" s="13">
        <v>45016</v>
      </c>
      <c r="B95" s="14">
        <v>98.010002136200001</v>
      </c>
      <c r="C95" s="14">
        <v>103.290000916</v>
      </c>
      <c r="D95" s="14">
        <v>10.1938486099</v>
      </c>
      <c r="E95" s="14">
        <v>120.211906433</v>
      </c>
      <c r="F95" s="14">
        <v>27.689142227200001</v>
      </c>
      <c r="G95" s="14">
        <v>32.915077209499998</v>
      </c>
      <c r="H95" s="14">
        <v>146.14382934599999</v>
      </c>
      <c r="I95" s="14">
        <v>97.712509155299998</v>
      </c>
      <c r="J95" s="14">
        <v>47.277767181400002</v>
      </c>
      <c r="K95" s="14">
        <v>30.732917785600002</v>
      </c>
      <c r="L95" s="14">
        <v>8791.1298828100007</v>
      </c>
    </row>
    <row r="96" spans="1:12" x14ac:dyDescent="0.3">
      <c r="A96" s="13">
        <v>45046</v>
      </c>
      <c r="B96" s="14">
        <v>89.370002746599994</v>
      </c>
      <c r="C96" s="14">
        <v>105.44999694800001</v>
      </c>
      <c r="D96" s="14">
        <v>9.7313833236700003</v>
      </c>
      <c r="E96" s="14">
        <v>128.52825927699999</v>
      </c>
      <c r="F96" s="14">
        <v>27.661233901999999</v>
      </c>
      <c r="G96" s="14">
        <v>31.374198913600001</v>
      </c>
      <c r="H96" s="14">
        <v>139.190917969</v>
      </c>
      <c r="I96" s="14">
        <v>105.446807861</v>
      </c>
      <c r="J96" s="14">
        <v>48.406406402599998</v>
      </c>
      <c r="K96" s="14">
        <v>31.193338394200001</v>
      </c>
      <c r="L96" s="14">
        <v>8928.3496093800004</v>
      </c>
    </row>
    <row r="97" spans="1:12" x14ac:dyDescent="0.3">
      <c r="A97" s="13">
        <v>45077</v>
      </c>
      <c r="B97" s="14">
        <v>118.209999084</v>
      </c>
      <c r="C97" s="14">
        <v>120.580001831</v>
      </c>
      <c r="D97" s="14">
        <v>9.82968044281</v>
      </c>
      <c r="E97" s="14">
        <v>126.175979614</v>
      </c>
      <c r="F97" s="14">
        <v>37.714328765899999</v>
      </c>
      <c r="G97" s="14">
        <v>31.004228591899999</v>
      </c>
      <c r="H97" s="14">
        <v>116.30854034399999</v>
      </c>
      <c r="I97" s="14">
        <v>91.837501525899995</v>
      </c>
      <c r="J97" s="14">
        <v>47.270694732700001</v>
      </c>
      <c r="K97" s="14">
        <v>28.6226730347</v>
      </c>
      <c r="L97" s="14">
        <v>8967.16015625</v>
      </c>
    </row>
    <row r="98" spans="1:12" x14ac:dyDescent="0.3">
      <c r="A98" s="13">
        <v>45107</v>
      </c>
      <c r="B98" s="14">
        <v>113.91000366199999</v>
      </c>
      <c r="C98" s="14">
        <v>130.36000060999999</v>
      </c>
      <c r="D98" s="14">
        <v>12.3935890198</v>
      </c>
      <c r="E98" s="14">
        <v>135.22244262699999</v>
      </c>
      <c r="F98" s="14">
        <v>42.172561645499997</v>
      </c>
      <c r="G98" s="14">
        <v>29.911500930799999</v>
      </c>
      <c r="H98" s="14">
        <v>117.170227051</v>
      </c>
      <c r="I98" s="14">
        <v>96.394325256299993</v>
      </c>
      <c r="J98" s="14">
        <v>50.589000701899998</v>
      </c>
      <c r="K98" s="14">
        <v>29.875867843599998</v>
      </c>
      <c r="L98" s="14">
        <v>9559.6699218800004</v>
      </c>
    </row>
    <row r="99" spans="1:12" x14ac:dyDescent="0.3">
      <c r="A99" s="13">
        <v>45138</v>
      </c>
      <c r="B99" s="14">
        <v>114.400001526</v>
      </c>
      <c r="C99" s="14">
        <v>133.67999267600001</v>
      </c>
      <c r="D99" s="14">
        <v>10.938629150400001</v>
      </c>
      <c r="E99" s="14">
        <v>147.87147522000001</v>
      </c>
      <c r="F99" s="14">
        <v>46.586013793900001</v>
      </c>
      <c r="G99" s="14">
        <v>29.7335281372</v>
      </c>
      <c r="H99" s="14">
        <v>121.229858398</v>
      </c>
      <c r="I99" s="14">
        <v>96.385337829600005</v>
      </c>
      <c r="J99" s="14">
        <v>51.451572418200001</v>
      </c>
      <c r="K99" s="14">
        <v>27.8676185608</v>
      </c>
      <c r="L99" s="14">
        <v>9866.76953125</v>
      </c>
    </row>
    <row r="100" spans="1:12" x14ac:dyDescent="0.3">
      <c r="A100" s="13">
        <v>45169</v>
      </c>
      <c r="B100" s="14">
        <v>105.720001221</v>
      </c>
      <c r="C100" s="14">
        <v>138.00999450699999</v>
      </c>
      <c r="D100" s="14">
        <v>10.044326782200001</v>
      </c>
      <c r="E100" s="14">
        <v>136.98423767099999</v>
      </c>
      <c r="F100" s="14">
        <v>49.203979492199998</v>
      </c>
      <c r="G100" s="14">
        <v>29.172834396399999</v>
      </c>
      <c r="H100" s="14">
        <v>113.381355286</v>
      </c>
      <c r="I100" s="14">
        <v>100.754722595</v>
      </c>
      <c r="J100" s="14">
        <v>52.522724151600002</v>
      </c>
      <c r="K100" s="14">
        <v>28.603559493999999</v>
      </c>
      <c r="L100" s="14">
        <v>9709.6796875</v>
      </c>
    </row>
    <row r="101" spans="1:12" x14ac:dyDescent="0.3">
      <c r="A101" s="13">
        <v>45199</v>
      </c>
      <c r="B101" s="14">
        <v>102.81999969500001</v>
      </c>
      <c r="C101" s="14">
        <v>127.120002747</v>
      </c>
      <c r="D101" s="14">
        <v>10.2844629288</v>
      </c>
      <c r="E101" s="14">
        <v>135.757888794</v>
      </c>
      <c r="F101" s="14">
        <v>43.369472503700003</v>
      </c>
      <c r="G101" s="14">
        <v>27.350557327299999</v>
      </c>
      <c r="H101" s="14">
        <v>99.064216613799999</v>
      </c>
      <c r="I101" s="14">
        <v>106.545028687</v>
      </c>
      <c r="J101" s="14">
        <v>51.657093048100002</v>
      </c>
      <c r="K101" s="14">
        <v>26.5020370483</v>
      </c>
      <c r="L101" s="14">
        <v>9246.7402343800004</v>
      </c>
    </row>
    <row r="102" spans="1:12" x14ac:dyDescent="0.3">
      <c r="A102" s="13">
        <v>45230</v>
      </c>
      <c r="B102" s="14">
        <v>98.5</v>
      </c>
      <c r="C102" s="14">
        <v>133.08999633799999</v>
      </c>
      <c r="D102" s="14">
        <v>8.1994409561200001</v>
      </c>
      <c r="E102" s="14">
        <v>131.13909912099999</v>
      </c>
      <c r="F102" s="14">
        <v>40.658569335899998</v>
      </c>
      <c r="G102" s="14">
        <v>25.1984615326</v>
      </c>
      <c r="H102" s="14">
        <v>99.261322021500007</v>
      </c>
      <c r="I102" s="14">
        <v>95.915885925300003</v>
      </c>
      <c r="J102" s="14">
        <v>52.781124114999997</v>
      </c>
      <c r="K102" s="14">
        <v>29.339374542200002</v>
      </c>
      <c r="L102" s="14">
        <v>9052.3095703100007</v>
      </c>
    </row>
    <row r="103" spans="1:12" x14ac:dyDescent="0.3">
      <c r="A103" s="13">
        <v>45260</v>
      </c>
      <c r="B103" s="14">
        <v>121.16000366199999</v>
      </c>
      <c r="C103" s="14">
        <v>146.08999633799999</v>
      </c>
      <c r="D103" s="14">
        <v>8.6283340454099999</v>
      </c>
      <c r="E103" s="14">
        <v>147.189651489</v>
      </c>
      <c r="F103" s="14">
        <v>46.630733489999997</v>
      </c>
      <c r="G103" s="14">
        <v>25.4629859924</v>
      </c>
      <c r="H103" s="14">
        <v>121.12763214100001</v>
      </c>
      <c r="I103" s="14">
        <v>93.949081420900001</v>
      </c>
      <c r="J103" s="14">
        <v>50.287582397500003</v>
      </c>
      <c r="K103" s="14">
        <v>32.011905670200001</v>
      </c>
      <c r="L103" s="14">
        <v>9879.01953125</v>
      </c>
    </row>
    <row r="104" spans="1:12" x14ac:dyDescent="0.3">
      <c r="A104" s="13">
        <v>45291</v>
      </c>
      <c r="B104" s="14">
        <v>147.41000366200001</v>
      </c>
      <c r="C104" s="14">
        <v>151.94000244099999</v>
      </c>
      <c r="D104" s="14">
        <v>10.251400947600001</v>
      </c>
      <c r="E104" s="14">
        <v>160.41110229500001</v>
      </c>
      <c r="F104" s="14">
        <v>49.378875732399997</v>
      </c>
      <c r="G104" s="14">
        <v>24.059059143100001</v>
      </c>
      <c r="H104" s="14">
        <v>128.921600342</v>
      </c>
      <c r="I104" s="14">
        <v>91.425254821799996</v>
      </c>
      <c r="J104" s="14">
        <v>51.1097717285</v>
      </c>
      <c r="K104" s="14">
        <v>31.485748291</v>
      </c>
      <c r="L104" s="14">
        <v>10327.8300781</v>
      </c>
    </row>
    <row r="105" spans="1:12" x14ac:dyDescent="0.3">
      <c r="A105" s="13">
        <v>45322</v>
      </c>
      <c r="B105" s="14">
        <v>167.69000244099999</v>
      </c>
      <c r="C105" s="14">
        <v>155.19999694800001</v>
      </c>
      <c r="D105" s="14">
        <v>9.8561468124400005</v>
      </c>
      <c r="E105" s="14">
        <v>165.442337036</v>
      </c>
      <c r="F105" s="14">
        <v>61.349182128899997</v>
      </c>
      <c r="G105" s="14">
        <v>22.9705963135</v>
      </c>
      <c r="H105" s="14">
        <v>125.898170471</v>
      </c>
      <c r="I105" s="14">
        <v>94.013099670399995</v>
      </c>
      <c r="J105" s="14">
        <v>53.573677062999998</v>
      </c>
      <c r="K105" s="14">
        <v>35.965709686300002</v>
      </c>
      <c r="L105" s="14">
        <v>10501.3798828</v>
      </c>
    </row>
    <row r="106" spans="1:12" x14ac:dyDescent="0.3">
      <c r="A106" s="13">
        <v>45351</v>
      </c>
      <c r="B106" s="14">
        <v>192.52999877900001</v>
      </c>
      <c r="C106" s="14">
        <v>176.75999450699999</v>
      </c>
      <c r="D106" s="14">
        <v>10.7439279556</v>
      </c>
      <c r="E106" s="14">
        <v>176.54394531200001</v>
      </c>
      <c r="F106" s="14">
        <v>78.883361816399997</v>
      </c>
      <c r="G106" s="14">
        <v>22.529508590700001</v>
      </c>
      <c r="H106" s="14">
        <v>139.45173645</v>
      </c>
      <c r="I106" s="14">
        <v>96.465042114300005</v>
      </c>
      <c r="J106" s="14">
        <v>57.003688812299998</v>
      </c>
      <c r="K106" s="14">
        <v>33.986961364700001</v>
      </c>
      <c r="L106" s="14">
        <v>11062.1103516</v>
      </c>
    </row>
    <row r="107" spans="1:12" x14ac:dyDescent="0.3">
      <c r="A107" s="13">
        <v>45382</v>
      </c>
      <c r="B107" s="14">
        <v>180.49000549300001</v>
      </c>
      <c r="C107" s="14">
        <v>180.380004883</v>
      </c>
      <c r="D107" s="14">
        <v>11.469403266900001</v>
      </c>
      <c r="E107" s="14">
        <v>190.05564880399999</v>
      </c>
      <c r="F107" s="14">
        <v>90.099090576199998</v>
      </c>
      <c r="G107" s="14">
        <v>23.538928985599998</v>
      </c>
      <c r="H107" s="14">
        <v>161.60243225100001</v>
      </c>
      <c r="I107" s="14">
        <v>107.281822205</v>
      </c>
      <c r="J107" s="14">
        <v>58.720245361300002</v>
      </c>
      <c r="K107" s="14">
        <v>35.634498596199997</v>
      </c>
      <c r="L107" s="14">
        <v>11418.0302734</v>
      </c>
    </row>
    <row r="108" spans="1:12" x14ac:dyDescent="0.3">
      <c r="A108" s="13">
        <v>45412</v>
      </c>
      <c r="B108" s="14">
        <v>158.380004883</v>
      </c>
      <c r="C108" s="14">
        <v>175</v>
      </c>
      <c r="D108" s="14">
        <v>10.4934673309</v>
      </c>
      <c r="E108" s="14">
        <v>182.994674683</v>
      </c>
      <c r="F108" s="14">
        <v>86.156333923299997</v>
      </c>
      <c r="G108" s="14">
        <v>21.7321548462</v>
      </c>
      <c r="H108" s="14">
        <v>146.80186462399999</v>
      </c>
      <c r="I108" s="14">
        <v>109.155380249</v>
      </c>
      <c r="J108" s="14">
        <v>57.919998168900001</v>
      </c>
      <c r="K108" s="14">
        <v>34.079952239999997</v>
      </c>
      <c r="L108" s="14">
        <v>10951.6601562</v>
      </c>
    </row>
    <row r="109" spans="1:12" x14ac:dyDescent="0.3">
      <c r="A109" s="13">
        <v>45443</v>
      </c>
      <c r="B109" s="14">
        <v>166.89999389600001</v>
      </c>
      <c r="C109" s="14">
        <v>176.44000244099999</v>
      </c>
      <c r="D109" s="14">
        <v>10.603435516399999</v>
      </c>
      <c r="E109" s="14">
        <v>193.38800048799999</v>
      </c>
      <c r="F109" s="14">
        <v>109.32128906200001</v>
      </c>
      <c r="G109" s="14">
        <v>24.677459716800001</v>
      </c>
      <c r="H109" s="14">
        <v>143.38665771500001</v>
      </c>
      <c r="I109" s="14">
        <v>109.102264404</v>
      </c>
      <c r="J109" s="14">
        <v>64.397689819299998</v>
      </c>
      <c r="K109" s="14">
        <v>35.512531280499999</v>
      </c>
      <c r="L109" s="14">
        <v>11494.7001953</v>
      </c>
    </row>
    <row r="110" spans="1:12" x14ac:dyDescent="0.3">
      <c r="A110" s="13">
        <v>45473</v>
      </c>
      <c r="B110" s="14">
        <v>162.210006714</v>
      </c>
      <c r="C110" s="14">
        <v>193.25</v>
      </c>
      <c r="D110" s="14">
        <v>10.9618368149</v>
      </c>
      <c r="E110" s="14">
        <v>193.03483581500001</v>
      </c>
      <c r="F110" s="14">
        <v>123.198860168</v>
      </c>
      <c r="G110" s="14">
        <v>24.091953277599998</v>
      </c>
      <c r="H110" s="14">
        <v>135.93081665</v>
      </c>
      <c r="I110" s="14">
        <v>107.11113739</v>
      </c>
      <c r="J110" s="14">
        <v>66.307296752900001</v>
      </c>
      <c r="K110" s="14">
        <v>35.590198516800001</v>
      </c>
      <c r="L110" s="14">
        <v>11907.1503906</v>
      </c>
    </row>
    <row r="111" spans="1:12" x14ac:dyDescent="0.3">
      <c r="A111" s="13">
        <v>45504</v>
      </c>
      <c r="B111" s="14">
        <v>144.47999572800001</v>
      </c>
      <c r="C111" s="14">
        <v>186.97999572800001</v>
      </c>
      <c r="D111" s="14">
        <v>9.4582996368399996</v>
      </c>
      <c r="E111" s="14">
        <v>204.219482422</v>
      </c>
      <c r="F111" s="14">
        <v>116.696868896</v>
      </c>
      <c r="G111" s="14">
        <v>26.667337417599999</v>
      </c>
      <c r="H111" s="14">
        <v>138.10699462900001</v>
      </c>
      <c r="I111" s="14">
        <v>110.33972168</v>
      </c>
      <c r="J111" s="14">
        <v>67.218032836899994</v>
      </c>
      <c r="K111" s="14">
        <v>35.5411109924</v>
      </c>
      <c r="L111" s="14">
        <v>12052.0898438</v>
      </c>
    </row>
    <row r="112" spans="1:12" x14ac:dyDescent="0.3">
      <c r="A112" s="13">
        <v>45535</v>
      </c>
      <c r="B112" s="14">
        <v>148.55999755900001</v>
      </c>
      <c r="C112" s="14">
        <v>178.5</v>
      </c>
      <c r="D112" s="14">
        <v>9.9340991973899992</v>
      </c>
      <c r="E112" s="14">
        <v>215.73562622099999</v>
      </c>
      <c r="F112" s="14">
        <v>119.04036712600001</v>
      </c>
      <c r="G112" s="14">
        <v>25.331348419200001</v>
      </c>
      <c r="H112" s="14">
        <v>142.15753173799999</v>
      </c>
      <c r="I112" s="14">
        <v>110.618415833</v>
      </c>
      <c r="J112" s="14">
        <v>75.845649719199997</v>
      </c>
      <c r="K112" s="14">
        <v>36.646282196000001</v>
      </c>
      <c r="L112" s="14">
        <v>12344.4296875</v>
      </c>
    </row>
    <row r="113" spans="1:12" x14ac:dyDescent="0.3">
      <c r="A113" s="13">
        <v>45565</v>
      </c>
      <c r="B113" s="14">
        <v>164.080001831</v>
      </c>
      <c r="C113" s="14">
        <v>186.330001831</v>
      </c>
      <c r="D113" s="14">
        <v>9.3748054504400002</v>
      </c>
      <c r="E113" s="14">
        <v>202.357711792</v>
      </c>
      <c r="F113" s="14">
        <v>121.115028381</v>
      </c>
      <c r="G113" s="14">
        <v>25.270225524899999</v>
      </c>
      <c r="H113" s="14">
        <v>144.23042297399999</v>
      </c>
      <c r="I113" s="14">
        <v>109.94310760499999</v>
      </c>
      <c r="J113" s="14">
        <v>79.302558898900003</v>
      </c>
      <c r="K113" s="14">
        <v>39.391693115199999</v>
      </c>
      <c r="L113" s="14">
        <v>12608.0703125</v>
      </c>
    </row>
    <row r="114" spans="1:12" x14ac:dyDescent="0.3">
      <c r="A114" s="13">
        <v>45596</v>
      </c>
      <c r="B114" s="14">
        <v>144.07000732399999</v>
      </c>
      <c r="C114" s="14">
        <v>186.39999389600001</v>
      </c>
      <c r="D114" s="14">
        <v>9.1351099014300008</v>
      </c>
      <c r="E114" s="14">
        <v>214.27684020999999</v>
      </c>
      <c r="F114" s="14">
        <v>132.40472412099999</v>
      </c>
      <c r="G114" s="14">
        <v>24.711380004900001</v>
      </c>
      <c r="H114" s="14">
        <v>138.84466552699999</v>
      </c>
      <c r="I114" s="14">
        <v>109.53040313699999</v>
      </c>
      <c r="J114" s="14">
        <v>80.481048584000007</v>
      </c>
      <c r="K114" s="14">
        <v>37.530151367199998</v>
      </c>
      <c r="L114" s="14">
        <v>12493.7402344</v>
      </c>
    </row>
    <row r="115" spans="1:12" x14ac:dyDescent="0.3">
      <c r="A115" s="13">
        <v>45626</v>
      </c>
      <c r="B115" s="14">
        <v>137.17999267600001</v>
      </c>
      <c r="C115" s="14">
        <v>207.88999939000001</v>
      </c>
      <c r="D115" s="14">
        <v>10.015084266700001</v>
      </c>
      <c r="E115" s="14">
        <v>241.11940002399999</v>
      </c>
      <c r="F115" s="14">
        <v>137.88002014200001</v>
      </c>
      <c r="G115" s="14">
        <v>23.241888046300001</v>
      </c>
      <c r="H115" s="14">
        <v>123.323020935</v>
      </c>
      <c r="I115" s="14">
        <v>111.546279907</v>
      </c>
      <c r="J115" s="14">
        <v>90.841934204099999</v>
      </c>
      <c r="K115" s="14">
        <v>39.498851776099997</v>
      </c>
      <c r="L115" s="14">
        <v>13227.1298828</v>
      </c>
    </row>
    <row r="116" spans="1:12" x14ac:dyDescent="0.3">
      <c r="A116" s="13">
        <v>45657</v>
      </c>
      <c r="B116" s="14">
        <v>120.790000916</v>
      </c>
      <c r="C116" s="14">
        <v>219.38999939000001</v>
      </c>
      <c r="D116" s="14">
        <v>8.9082946777299998</v>
      </c>
      <c r="E116" s="14">
        <v>231.454147339</v>
      </c>
      <c r="F116" s="14">
        <v>133.93983459500001</v>
      </c>
      <c r="G116" s="14">
        <v>23.525651931799999</v>
      </c>
      <c r="H116" s="14">
        <v>125.998039246</v>
      </c>
      <c r="I116" s="14">
        <v>101.72121429400001</v>
      </c>
      <c r="J116" s="14">
        <v>88.927062988299994</v>
      </c>
      <c r="K116" s="14">
        <v>35.623794555700002</v>
      </c>
      <c r="L116" s="14">
        <v>12911.8203125</v>
      </c>
    </row>
    <row r="117" spans="1:12" x14ac:dyDescent="0.3">
      <c r="A117" s="13">
        <v>45688</v>
      </c>
      <c r="B117" s="14">
        <v>115.94999694800001</v>
      </c>
      <c r="C117" s="14">
        <v>237.67999267600001</v>
      </c>
      <c r="D117" s="14">
        <v>9.0702638626100001</v>
      </c>
      <c r="E117" s="14">
        <v>259.42684936500001</v>
      </c>
      <c r="F117" s="14">
        <v>119.75693511999999</v>
      </c>
      <c r="G117" s="14">
        <v>23.905567169200001</v>
      </c>
      <c r="H117" s="14">
        <v>128.54261779800001</v>
      </c>
      <c r="I117" s="14">
        <v>101.021453857</v>
      </c>
      <c r="J117" s="14">
        <v>96.614067077599998</v>
      </c>
      <c r="K117" s="14">
        <v>35.711090087899997</v>
      </c>
      <c r="L117" s="14">
        <v>13271.3798828</v>
      </c>
    </row>
    <row r="118" spans="1:12" x14ac:dyDescent="0.3">
      <c r="A118" s="13">
        <v>45716</v>
      </c>
      <c r="B118" s="14">
        <v>99.860000610399993</v>
      </c>
      <c r="C118" s="14">
        <v>212.27999877900001</v>
      </c>
      <c r="D118" s="14">
        <v>8.8741836547900004</v>
      </c>
      <c r="E118" s="14">
        <v>256.85488891599999</v>
      </c>
      <c r="F118" s="14">
        <v>124.59429168699999</v>
      </c>
      <c r="G118" s="14">
        <v>23.824440002399999</v>
      </c>
      <c r="H118" s="14">
        <v>116.78871154799999</v>
      </c>
      <c r="I118" s="14">
        <v>106.21843719500001</v>
      </c>
      <c r="J118" s="14">
        <v>97.056983947800006</v>
      </c>
      <c r="K118" s="14">
        <v>39.074581146200003</v>
      </c>
      <c r="L118" s="14">
        <v>13098.2197266</v>
      </c>
    </row>
    <row r="119" spans="1:12" x14ac:dyDescent="0.3">
      <c r="A119" s="13">
        <v>45747</v>
      </c>
      <c r="B119" s="14">
        <v>102.739997864</v>
      </c>
      <c r="C119" s="14">
        <v>190.25999450699999</v>
      </c>
      <c r="D119" s="14">
        <v>9.3202171325700007</v>
      </c>
      <c r="E119" s="14">
        <v>238.07489013700001</v>
      </c>
      <c r="F119" s="14">
        <v>108.10735321</v>
      </c>
      <c r="G119" s="14">
        <v>22.841896057100001</v>
      </c>
      <c r="H119" s="14">
        <v>98.1010055542</v>
      </c>
      <c r="I119" s="14">
        <v>113.46949768100001</v>
      </c>
      <c r="J119" s="14">
        <v>86.644668579099999</v>
      </c>
      <c r="K119" s="14">
        <v>41.123500823999997</v>
      </c>
      <c r="L119" s="14">
        <v>12360.2099609</v>
      </c>
    </row>
    <row r="120" spans="1:12" x14ac:dyDescent="0.3">
      <c r="A120" s="13">
        <v>45777</v>
      </c>
      <c r="B120" s="14">
        <v>97.349998474100005</v>
      </c>
      <c r="C120" s="14">
        <v>184.419998169</v>
      </c>
      <c r="D120" s="14">
        <v>9.3016319274899999</v>
      </c>
      <c r="E120" s="14">
        <v>238.87725830100001</v>
      </c>
      <c r="F120" s="14">
        <v>108.645996094</v>
      </c>
      <c r="G120" s="14">
        <v>22.003578185999999</v>
      </c>
      <c r="H120" s="14">
        <v>90.900413513199993</v>
      </c>
      <c r="I120" s="14">
        <v>100.78014373800001</v>
      </c>
      <c r="J120" s="14">
        <v>95.981246948199995</v>
      </c>
      <c r="K120" s="14">
        <v>40.586513519299999</v>
      </c>
      <c r="L120" s="14">
        <v>12276.3896484</v>
      </c>
    </row>
    <row r="121" spans="1:12" x14ac:dyDescent="0.3">
      <c r="A121" s="13">
        <v>45808</v>
      </c>
      <c r="B121" s="14">
        <v>110.730003357</v>
      </c>
      <c r="C121" s="14">
        <v>205.00999450699999</v>
      </c>
      <c r="D121" s="14">
        <v>9.7861890792799997</v>
      </c>
      <c r="E121" s="14">
        <v>257.80230712899998</v>
      </c>
      <c r="F121" s="14">
        <v>134.790084839</v>
      </c>
      <c r="G121" s="14">
        <v>21.578222274800002</v>
      </c>
      <c r="H121" s="14">
        <v>89.382026672400002</v>
      </c>
      <c r="I121" s="14">
        <v>98.501991271999998</v>
      </c>
      <c r="J121" s="14">
        <v>97.667648315400001</v>
      </c>
      <c r="K121" s="14">
        <v>40.494388580299997</v>
      </c>
      <c r="L121" s="14">
        <v>13049.1298828</v>
      </c>
    </row>
    <row r="122" spans="1:12" x14ac:dyDescent="0.3">
      <c r="A122" s="13">
        <v>45838</v>
      </c>
      <c r="B122" s="14">
        <v>141.89999389600001</v>
      </c>
      <c r="C122" s="14">
        <v>219.38999939000001</v>
      </c>
      <c r="D122" s="14">
        <v>10.2293024063</v>
      </c>
      <c r="E122" s="14">
        <v>283.104003906</v>
      </c>
      <c r="F122" s="14">
        <v>157.603515625</v>
      </c>
      <c r="G122" s="14">
        <v>22.2671813965</v>
      </c>
      <c r="H122" s="14">
        <v>93.793609619099996</v>
      </c>
      <c r="I122" s="14">
        <v>103.797798157</v>
      </c>
      <c r="J122" s="14">
        <v>96.737670898399998</v>
      </c>
      <c r="K122" s="14">
        <v>39.858787536599998</v>
      </c>
      <c r="L122" s="14">
        <v>13712.7099609</v>
      </c>
    </row>
    <row r="123" spans="1:12" x14ac:dyDescent="0.3">
      <c r="A123" s="13">
        <v>45869</v>
      </c>
      <c r="B123" s="14">
        <v>176.30999755900001</v>
      </c>
      <c r="C123" s="14">
        <v>234.11000060999999</v>
      </c>
      <c r="D123" s="14">
        <v>10.436715125999999</v>
      </c>
      <c r="E123" s="14">
        <v>290.67907714799998</v>
      </c>
      <c r="F123" s="14">
        <v>177.43487548799999</v>
      </c>
      <c r="G123" s="14">
        <v>21.763666152999999</v>
      </c>
      <c r="H123" s="14">
        <v>95.552528381299993</v>
      </c>
      <c r="I123" s="14">
        <v>107.495223999</v>
      </c>
      <c r="J123" s="14">
        <v>96.935539245599998</v>
      </c>
      <c r="K123" s="14">
        <v>40.025871276899998</v>
      </c>
      <c r="L123" s="14">
        <v>14020.4599609</v>
      </c>
    </row>
    <row r="124" spans="1:12" x14ac:dyDescent="0.3">
      <c r="A124" s="13">
        <v>45900</v>
      </c>
      <c r="B124" s="14">
        <v>162.630004883</v>
      </c>
      <c r="C124" s="14">
        <v>229</v>
      </c>
      <c r="D124" s="14">
        <v>11.2456865311</v>
      </c>
      <c r="E124" s="14">
        <v>295.76184081999997</v>
      </c>
      <c r="F124" s="14">
        <v>173.75389099099999</v>
      </c>
      <c r="G124" s="14">
        <v>23.137329101599999</v>
      </c>
      <c r="H124" s="14">
        <v>92.2446975708</v>
      </c>
      <c r="I124" s="14">
        <v>111.070861816</v>
      </c>
      <c r="J124" s="14">
        <v>96.1702957153</v>
      </c>
      <c r="K124" s="14">
        <v>41.401882171600001</v>
      </c>
      <c r="L124" s="14">
        <v>14304.6796875</v>
      </c>
    </row>
    <row r="125" spans="1:12" x14ac:dyDescent="0.3">
      <c r="A125" s="13">
        <v>45930</v>
      </c>
      <c r="B125" s="14">
        <v>161.789993286</v>
      </c>
      <c r="C125" s="14">
        <v>219.57000732399999</v>
      </c>
      <c r="D125" s="14">
        <v>11.427223205600001</v>
      </c>
      <c r="E125" s="14">
        <v>309.50885009799998</v>
      </c>
      <c r="F125" s="14">
        <v>186.13406372099999</v>
      </c>
      <c r="G125" s="14">
        <v>23.810142517100001</v>
      </c>
      <c r="H125" s="14">
        <v>86.209091186500004</v>
      </c>
      <c r="I125" s="14">
        <v>109.574249268</v>
      </c>
      <c r="J125" s="14">
        <v>102.19953155499999</v>
      </c>
      <c r="K125" s="14">
        <v>41.139785766599999</v>
      </c>
      <c r="L125" s="14">
        <v>14826.7998047</v>
      </c>
    </row>
    <row r="126" spans="1:12" x14ac:dyDescent="0.3">
      <c r="A126" s="13">
        <v>45961</v>
      </c>
      <c r="B126" s="14">
        <v>256.11999511699997</v>
      </c>
      <c r="C126" s="14">
        <v>244.22000122099999</v>
      </c>
      <c r="D126" s="14">
        <v>12.545104026800001</v>
      </c>
      <c r="E126" s="14">
        <v>306.76394653300002</v>
      </c>
      <c r="F126" s="14">
        <v>202.00604247999999</v>
      </c>
      <c r="G126" s="14">
        <v>23.034538268999999</v>
      </c>
      <c r="H126" s="14">
        <v>89.111557006799998</v>
      </c>
      <c r="I126" s="14">
        <v>111.138893127</v>
      </c>
      <c r="J126" s="14">
        <v>100.335220337</v>
      </c>
      <c r="K126" s="14">
        <v>37.838424682599999</v>
      </c>
      <c r="L126" s="14">
        <v>15173.9501953</v>
      </c>
    </row>
    <row r="127" spans="1:12" x14ac:dyDescent="0.3">
      <c r="A127" s="13">
        <v>45991</v>
      </c>
      <c r="B127" s="14">
        <v>217.52999877900001</v>
      </c>
      <c r="C127" s="14">
        <v>233.22000122099999</v>
      </c>
      <c r="D127" s="14">
        <v>12.8351650238</v>
      </c>
      <c r="E127" s="14">
        <v>308.69650268599997</v>
      </c>
      <c r="F127" s="14">
        <v>176.57696533199999</v>
      </c>
      <c r="G127" s="14">
        <v>24.476640701299999</v>
      </c>
      <c r="H127" s="14">
        <v>88.191101074200006</v>
      </c>
      <c r="I127" s="14">
        <v>113.640296936</v>
      </c>
      <c r="J127" s="14">
        <v>109.58732605</v>
      </c>
      <c r="K127" s="14">
        <v>39.142868042000003</v>
      </c>
      <c r="L127" s="14">
        <v>15211.1396484</v>
      </c>
    </row>
    <row r="128" spans="1:12" x14ac:dyDescent="0.3">
      <c r="A128" s="13">
        <v>46022</v>
      </c>
      <c r="B128" s="14">
        <v>214.16000366200001</v>
      </c>
      <c r="C128" s="14">
        <v>230.82000732399999</v>
      </c>
      <c r="D128" s="14">
        <v>12.680524825999999</v>
      </c>
      <c r="E128" s="14">
        <v>317.70855712899998</v>
      </c>
      <c r="F128" s="14">
        <v>186.06460571299999</v>
      </c>
      <c r="G128" s="14">
        <v>23.6778697968</v>
      </c>
      <c r="H128" s="14">
        <v>95.129997253400006</v>
      </c>
      <c r="I128" s="14">
        <v>117.973381042</v>
      </c>
      <c r="J128" s="14">
        <v>110.70502471899999</v>
      </c>
      <c r="K128" s="14">
        <v>38.781047821000001</v>
      </c>
      <c r="L128" s="14">
        <v>15220.4501953</v>
      </c>
    </row>
  </sheetData>
  <autoFilter ref="A7:L128" xr:uid="{00000000-0009-0000-0000-000004000000}"/>
  <mergeCells count="2">
    <mergeCell ref="A1:K1"/>
    <mergeCell ref="A3:K3"/>
  </mergeCells>
  <hyperlinks>
    <hyperlink ref="A2" location="'00 Start'!A1" display="Back to guide" xr:uid="{00000000-0004-0000-0400-000000000000}"/>
  </hyperlinks>
  <printOptions horizontalCentered="1"/>
  <pageMargins left="0.25" right="0.25" top="0.35" bottom="0.35" header="0.5" footer="0.5"/>
  <pageSetup paperSize="9" fitToHeight="0" orientation="landscape"/>
  <headerFooter>
    <oddFooter>&amp;CBFIN | &amp;A |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3AAB5"/>
    <pageSetUpPr fitToPage="1"/>
  </sheetPr>
  <dimension ref="A1:K127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14" width="13" customWidth="1"/>
  </cols>
  <sheetData>
    <row r="1" spans="1:11" ht="25.95" customHeight="1" x14ac:dyDescent="0.3">
      <c r="A1" s="24" t="s">
        <v>142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5.6" x14ac:dyDescent="0.3">
      <c r="A2" s="1" t="s">
        <v>55</v>
      </c>
    </row>
    <row r="3" spans="1:11" ht="42" customHeight="1" x14ac:dyDescent="0.3">
      <c r="A3" s="21" t="s">
        <v>143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7" spans="1:11" ht="34.049999999999997" customHeight="1" x14ac:dyDescent="0.3">
      <c r="A7" s="4" t="s">
        <v>130</v>
      </c>
      <c r="B7" s="4" t="s">
        <v>144</v>
      </c>
      <c r="C7" s="4" t="s">
        <v>145</v>
      </c>
      <c r="D7" s="4" t="s">
        <v>146</v>
      </c>
      <c r="E7" s="4" t="s">
        <v>147</v>
      </c>
      <c r="F7" s="4" t="s">
        <v>148</v>
      </c>
      <c r="G7" s="4" t="s">
        <v>149</v>
      </c>
      <c r="H7" s="4" t="s">
        <v>150</v>
      </c>
      <c r="I7" s="4" t="s">
        <v>151</v>
      </c>
      <c r="J7" s="4" t="s">
        <v>152</v>
      </c>
      <c r="K7" s="4" t="s">
        <v>153</v>
      </c>
    </row>
    <row r="8" spans="1:11" x14ac:dyDescent="0.3">
      <c r="A8" s="13">
        <v>42400</v>
      </c>
      <c r="B8" s="15">
        <v>1E-4</v>
      </c>
      <c r="C8" s="15">
        <v>-5.74E-2</v>
      </c>
      <c r="D8" s="15">
        <v>-3.4000000000000002E-2</v>
      </c>
      <c r="E8" s="15">
        <v>2.0799999999999999E-2</v>
      </c>
      <c r="F8" s="15">
        <v>1.4800000000000001E-2</v>
      </c>
      <c r="G8" s="15">
        <v>-5.74E-2</v>
      </c>
      <c r="H8" s="15">
        <v>-3.44E-2</v>
      </c>
      <c r="I8" s="15">
        <v>2.0799999999999999E-2</v>
      </c>
      <c r="J8" s="15">
        <v>2.7799999999999998E-2</v>
      </c>
      <c r="K8" s="15">
        <v>3.0499999999999999E-2</v>
      </c>
    </row>
    <row r="9" spans="1:11" x14ac:dyDescent="0.3">
      <c r="A9" s="13">
        <v>42429</v>
      </c>
      <c r="B9" s="15">
        <v>2.0000000000000001E-4</v>
      </c>
      <c r="C9" s="15">
        <v>-5.9999999999999995E-4</v>
      </c>
      <c r="D9" s="15">
        <v>7.3000000000000001E-3</v>
      </c>
      <c r="E9" s="15">
        <v>-6.1000000000000004E-3</v>
      </c>
      <c r="F9" s="15">
        <v>-4.36E-2</v>
      </c>
      <c r="G9" s="15">
        <v>-6.9999999999999999E-4</v>
      </c>
      <c r="H9" s="15">
        <v>8.6999999999999994E-3</v>
      </c>
      <c r="I9" s="15">
        <v>-6.1000000000000004E-3</v>
      </c>
      <c r="J9" s="15">
        <v>3.3000000000000002E-2</v>
      </c>
      <c r="K9" s="15">
        <v>1.9699999999999999E-2</v>
      </c>
    </row>
    <row r="10" spans="1:11" x14ac:dyDescent="0.3">
      <c r="A10" s="13">
        <v>42460</v>
      </c>
      <c r="B10" s="15">
        <v>2.0000000000000001E-4</v>
      </c>
      <c r="C10" s="15">
        <v>6.9500000000000006E-2</v>
      </c>
      <c r="D10" s="15">
        <v>7.4999999999999997E-3</v>
      </c>
      <c r="E10" s="15">
        <v>1.23E-2</v>
      </c>
      <c r="F10" s="15">
        <v>-5.04E-2</v>
      </c>
      <c r="G10" s="15">
        <v>6.9500000000000006E-2</v>
      </c>
      <c r="H10" s="15">
        <v>1.01E-2</v>
      </c>
      <c r="I10" s="15">
        <v>1.23E-2</v>
      </c>
      <c r="J10" s="15">
        <v>6.7999999999999996E-3</v>
      </c>
      <c r="K10" s="15">
        <v>5.9999999999999995E-4</v>
      </c>
    </row>
    <row r="11" spans="1:11" x14ac:dyDescent="0.3">
      <c r="A11" s="13">
        <v>42490</v>
      </c>
      <c r="B11" s="15">
        <v>1E-4</v>
      </c>
      <c r="C11" s="15">
        <v>9.1999999999999998E-3</v>
      </c>
      <c r="D11" s="15">
        <v>7.7000000000000002E-3</v>
      </c>
      <c r="E11" s="15">
        <v>3.2199999999999999E-2</v>
      </c>
      <c r="F11" s="15">
        <v>-5.9900000000000002E-2</v>
      </c>
      <c r="G11" s="15">
        <v>9.1000000000000004E-3</v>
      </c>
      <c r="H11" s="15">
        <v>1.23E-2</v>
      </c>
      <c r="I11" s="15">
        <v>3.2199999999999999E-2</v>
      </c>
      <c r="J11" s="15">
        <v>-2.8500000000000001E-2</v>
      </c>
      <c r="K11" s="15">
        <v>1.7399999999999999E-2</v>
      </c>
    </row>
    <row r="12" spans="1:11" x14ac:dyDescent="0.3">
      <c r="A12" s="13">
        <v>42521</v>
      </c>
      <c r="B12" s="15">
        <v>1E-4</v>
      </c>
      <c r="C12" s="15">
        <v>1.78E-2</v>
      </c>
      <c r="D12" s="15">
        <v>-1.8E-3</v>
      </c>
      <c r="E12" s="15">
        <v>-1.6199999999999999E-2</v>
      </c>
      <c r="F12" s="15">
        <v>1.3899999999999999E-2</v>
      </c>
      <c r="G12" s="15">
        <v>1.78E-2</v>
      </c>
      <c r="H12" s="15">
        <v>-6.1999999999999998E-3</v>
      </c>
      <c r="I12" s="15">
        <v>-1.6199999999999999E-2</v>
      </c>
      <c r="J12" s="15">
        <v>-1.0999999999999999E-2</v>
      </c>
      <c r="K12" s="15">
        <v>-2.5399999999999999E-2</v>
      </c>
    </row>
    <row r="13" spans="1:11" x14ac:dyDescent="0.3">
      <c r="A13" s="13">
        <v>42551</v>
      </c>
      <c r="B13" s="15">
        <v>2.0000000000000001E-4</v>
      </c>
      <c r="C13" s="15">
        <v>-2.9999999999999997E-4</v>
      </c>
      <c r="D13" s="15">
        <v>6.0000000000000001E-3</v>
      </c>
      <c r="E13" s="15">
        <v>-1.49E-2</v>
      </c>
      <c r="F13" s="15">
        <v>4.1399999999999999E-2</v>
      </c>
      <c r="G13" s="15">
        <v>-2.9999999999999997E-4</v>
      </c>
      <c r="H13" s="15">
        <v>4.1999999999999997E-3</v>
      </c>
      <c r="I13" s="15">
        <v>-1.49E-2</v>
      </c>
      <c r="J13" s="15">
        <v>1.4500000000000001E-2</v>
      </c>
      <c r="K13" s="15">
        <v>1.9E-2</v>
      </c>
    </row>
    <row r="14" spans="1:11" x14ac:dyDescent="0.3">
      <c r="A14" s="13">
        <v>42582</v>
      </c>
      <c r="B14" s="15">
        <v>2.0000000000000001E-4</v>
      </c>
      <c r="C14" s="15">
        <v>3.9399999999999998E-2</v>
      </c>
      <c r="D14" s="15">
        <v>2.47E-2</v>
      </c>
      <c r="E14" s="15">
        <v>-1.2699999999999999E-2</v>
      </c>
      <c r="F14" s="15">
        <v>-3.3799999999999997E-2</v>
      </c>
      <c r="G14" s="15">
        <v>3.9399999999999998E-2</v>
      </c>
      <c r="H14" s="15">
        <v>2.4899999999999999E-2</v>
      </c>
      <c r="I14" s="15">
        <v>-1.2699999999999999E-2</v>
      </c>
      <c r="J14" s="15">
        <v>1.34E-2</v>
      </c>
      <c r="K14" s="15">
        <v>-1.18E-2</v>
      </c>
    </row>
    <row r="15" spans="1:11" x14ac:dyDescent="0.3">
      <c r="A15" s="13">
        <v>42613</v>
      </c>
      <c r="B15" s="15">
        <v>2.0000000000000001E-4</v>
      </c>
      <c r="C15" s="15">
        <v>4.8999999999999998E-3</v>
      </c>
      <c r="D15" s="15">
        <v>1.1900000000000001E-2</v>
      </c>
      <c r="E15" s="15">
        <v>3.1699999999999999E-2</v>
      </c>
      <c r="F15" s="15">
        <v>-3.4599999999999999E-2</v>
      </c>
      <c r="G15" s="15">
        <v>4.8999999999999998E-3</v>
      </c>
      <c r="H15" s="15">
        <v>1.6799999999999999E-2</v>
      </c>
      <c r="I15" s="15">
        <v>3.1699999999999999E-2</v>
      </c>
      <c r="J15" s="15">
        <v>-1.84E-2</v>
      </c>
      <c r="K15" s="15">
        <v>-3.8999999999999998E-3</v>
      </c>
    </row>
    <row r="16" spans="1:11" x14ac:dyDescent="0.3">
      <c r="A16" s="13">
        <v>42643</v>
      </c>
      <c r="B16" s="15">
        <v>2.0000000000000001E-4</v>
      </c>
      <c r="C16" s="15">
        <v>2.7000000000000001E-3</v>
      </c>
      <c r="D16" s="15">
        <v>2.0899999999999998E-2</v>
      </c>
      <c r="E16" s="15">
        <v>-1.2200000000000001E-2</v>
      </c>
      <c r="F16" s="15">
        <v>2.3E-3</v>
      </c>
      <c r="G16" s="15">
        <v>2.7000000000000001E-3</v>
      </c>
      <c r="H16" s="15">
        <v>1.8100000000000002E-2</v>
      </c>
      <c r="I16" s="15">
        <v>-1.2200000000000001E-2</v>
      </c>
      <c r="J16" s="15">
        <v>-2.2200000000000001E-2</v>
      </c>
      <c r="K16" s="15">
        <v>2.0000000000000001E-4</v>
      </c>
    </row>
    <row r="17" spans="1:11" x14ac:dyDescent="0.3">
      <c r="A17" s="13">
        <v>42674</v>
      </c>
      <c r="B17" s="15">
        <v>2.0000000000000001E-4</v>
      </c>
      <c r="C17" s="15">
        <v>-2.01E-2</v>
      </c>
      <c r="D17" s="15">
        <v>-4.41E-2</v>
      </c>
      <c r="E17" s="15">
        <v>4.1000000000000002E-2</v>
      </c>
      <c r="F17" s="15">
        <v>6.1999999999999998E-3</v>
      </c>
      <c r="G17" s="15">
        <v>-2.01E-2</v>
      </c>
      <c r="H17" s="15">
        <v>-4.0399999999999998E-2</v>
      </c>
      <c r="I17" s="15">
        <v>4.1000000000000002E-2</v>
      </c>
      <c r="J17" s="15">
        <v>9.5999999999999992E-3</v>
      </c>
      <c r="K17" s="15">
        <v>2.8E-3</v>
      </c>
    </row>
    <row r="18" spans="1:11" x14ac:dyDescent="0.3">
      <c r="A18" s="13">
        <v>42704</v>
      </c>
      <c r="B18" s="15">
        <v>1E-4</v>
      </c>
      <c r="C18" s="15">
        <v>4.8599999999999997E-2</v>
      </c>
      <c r="D18" s="15">
        <v>5.6000000000000001E-2</v>
      </c>
      <c r="E18" s="15">
        <v>8.3199999999999996E-2</v>
      </c>
      <c r="F18" s="15">
        <v>-4.7399999999999998E-2</v>
      </c>
      <c r="G18" s="15">
        <v>4.8500000000000001E-2</v>
      </c>
      <c r="H18" s="15">
        <v>6.9699999999999998E-2</v>
      </c>
      <c r="I18" s="15">
        <v>8.3199999999999996E-2</v>
      </c>
      <c r="J18" s="15">
        <v>-1.6999999999999999E-3</v>
      </c>
      <c r="K18" s="15">
        <v>3.6999999999999998E-2</v>
      </c>
    </row>
    <row r="19" spans="1:11" x14ac:dyDescent="0.3">
      <c r="A19" s="13">
        <v>42735</v>
      </c>
      <c r="B19" s="15">
        <v>2.9999999999999997E-4</v>
      </c>
      <c r="C19" s="15">
        <v>1.8100000000000002E-2</v>
      </c>
      <c r="D19" s="15">
        <v>1.2999999999999999E-3</v>
      </c>
      <c r="E19" s="15">
        <v>3.5000000000000003E-2</v>
      </c>
      <c r="F19" s="15">
        <v>-2.5999999999999999E-3</v>
      </c>
      <c r="G19" s="15">
        <v>1.8100000000000002E-2</v>
      </c>
      <c r="H19" s="15">
        <v>4.4000000000000003E-3</v>
      </c>
      <c r="I19" s="15">
        <v>3.5000000000000003E-2</v>
      </c>
      <c r="J19" s="15">
        <v>1.26E-2</v>
      </c>
      <c r="K19" s="15">
        <v>-3.2000000000000002E-3</v>
      </c>
    </row>
    <row r="20" spans="1:11" x14ac:dyDescent="0.3">
      <c r="A20" s="13">
        <v>42766</v>
      </c>
      <c r="B20" s="15">
        <v>4.0000000000000002E-4</v>
      </c>
      <c r="C20" s="15">
        <v>1.9400000000000001E-2</v>
      </c>
      <c r="D20" s="15">
        <v>-1.1599999999999999E-2</v>
      </c>
      <c r="E20" s="15">
        <v>-2.7400000000000001E-2</v>
      </c>
      <c r="F20" s="15">
        <v>-9.1999999999999998E-3</v>
      </c>
      <c r="G20" s="15">
        <v>1.9400000000000001E-2</v>
      </c>
      <c r="H20" s="15">
        <v>-1.44E-2</v>
      </c>
      <c r="I20" s="15">
        <v>-2.7400000000000001E-2</v>
      </c>
      <c r="J20" s="15">
        <v>-5.0000000000000001E-3</v>
      </c>
      <c r="K20" s="15">
        <v>-1.0699999999999999E-2</v>
      </c>
    </row>
    <row r="21" spans="1:11" x14ac:dyDescent="0.3">
      <c r="A21" s="13">
        <v>42794</v>
      </c>
      <c r="B21" s="15">
        <v>4.0000000000000002E-4</v>
      </c>
      <c r="C21" s="15">
        <v>3.5499999999999997E-2</v>
      </c>
      <c r="D21" s="15">
        <v>-2.1299999999999999E-2</v>
      </c>
      <c r="E21" s="15">
        <v>-1.52E-2</v>
      </c>
      <c r="F21" s="15">
        <v>-1.5299999999999999E-2</v>
      </c>
      <c r="G21" s="15">
        <v>3.5499999999999997E-2</v>
      </c>
      <c r="H21" s="15">
        <v>-2.29E-2</v>
      </c>
      <c r="I21" s="15">
        <v>-1.52E-2</v>
      </c>
      <c r="J21" s="15">
        <v>4.1999999999999997E-3</v>
      </c>
      <c r="K21" s="15">
        <v>-1.8100000000000002E-2</v>
      </c>
    </row>
    <row r="22" spans="1:11" x14ac:dyDescent="0.3">
      <c r="A22" s="13">
        <v>42825</v>
      </c>
      <c r="B22" s="15">
        <v>2.9999999999999997E-4</v>
      </c>
      <c r="C22" s="15">
        <v>1.6999999999999999E-3</v>
      </c>
      <c r="D22" s="15">
        <v>1.1299999999999999E-2</v>
      </c>
      <c r="E22" s="15">
        <v>-3.3300000000000003E-2</v>
      </c>
      <c r="F22" s="15">
        <v>-9.5999999999999992E-3</v>
      </c>
      <c r="G22" s="15">
        <v>1.6999999999999999E-3</v>
      </c>
      <c r="H22" s="15">
        <v>7.4999999999999997E-3</v>
      </c>
      <c r="I22" s="15">
        <v>-3.3300000000000003E-2</v>
      </c>
      <c r="J22" s="15">
        <v>6.4000000000000003E-3</v>
      </c>
      <c r="K22" s="15">
        <v>-9.5999999999999992E-3</v>
      </c>
    </row>
    <row r="23" spans="1:11" x14ac:dyDescent="0.3">
      <c r="A23" s="13">
        <v>42855</v>
      </c>
      <c r="B23" s="15">
        <v>5.0000000000000001E-4</v>
      </c>
      <c r="C23" s="15">
        <v>1.0800000000000001E-2</v>
      </c>
      <c r="D23" s="15">
        <v>6.7999999999999996E-3</v>
      </c>
      <c r="E23" s="15">
        <v>-2.0799999999999999E-2</v>
      </c>
      <c r="F23" s="15">
        <v>5.1000000000000004E-3</v>
      </c>
      <c r="G23" s="15">
        <v>1.0800000000000001E-2</v>
      </c>
      <c r="H23" s="15">
        <v>4.1999999999999997E-3</v>
      </c>
      <c r="I23" s="15">
        <v>-2.0799999999999999E-2</v>
      </c>
      <c r="J23" s="15">
        <v>1.78E-2</v>
      </c>
      <c r="K23" s="15">
        <v>-1.61E-2</v>
      </c>
    </row>
    <row r="24" spans="1:11" x14ac:dyDescent="0.3">
      <c r="A24" s="13">
        <v>42886</v>
      </c>
      <c r="B24" s="15">
        <v>5.9999999999999995E-4</v>
      </c>
      <c r="C24" s="15">
        <v>1.0699999999999999E-2</v>
      </c>
      <c r="D24" s="15">
        <v>-2.5100000000000001E-2</v>
      </c>
      <c r="E24" s="15">
        <v>-3.8199999999999998E-2</v>
      </c>
      <c r="F24" s="15">
        <v>1.49E-2</v>
      </c>
      <c r="G24" s="15">
        <v>1.0699999999999999E-2</v>
      </c>
      <c r="H24" s="15">
        <v>-2.9899999999999999E-2</v>
      </c>
      <c r="I24" s="15">
        <v>-3.8199999999999998E-2</v>
      </c>
      <c r="J24" s="15">
        <v>9.9000000000000008E-3</v>
      </c>
      <c r="K24" s="15">
        <v>-1.67E-2</v>
      </c>
    </row>
    <row r="25" spans="1:11" x14ac:dyDescent="0.3">
      <c r="A25" s="13">
        <v>42916</v>
      </c>
      <c r="B25" s="15">
        <v>5.9999999999999995E-4</v>
      </c>
      <c r="C25" s="15">
        <v>7.9000000000000008E-3</v>
      </c>
      <c r="D25" s="15">
        <v>2.2200000000000001E-2</v>
      </c>
      <c r="E25" s="15">
        <v>1.5100000000000001E-2</v>
      </c>
      <c r="F25" s="15">
        <v>-1.1000000000000001E-3</v>
      </c>
      <c r="G25" s="15">
        <v>7.7999999999999996E-3</v>
      </c>
      <c r="H25" s="15">
        <v>2.5399999999999999E-2</v>
      </c>
      <c r="I25" s="15">
        <v>1.5100000000000001E-2</v>
      </c>
      <c r="J25" s="15">
        <v>-2.2700000000000001E-2</v>
      </c>
      <c r="K25" s="15">
        <v>1E-4</v>
      </c>
    </row>
    <row r="26" spans="1:11" x14ac:dyDescent="0.3">
      <c r="A26" s="13">
        <v>42947</v>
      </c>
      <c r="B26" s="15">
        <v>6.9999999999999999E-4</v>
      </c>
      <c r="C26" s="15">
        <v>1.8800000000000001E-2</v>
      </c>
      <c r="D26" s="15">
        <v>-1.4500000000000001E-2</v>
      </c>
      <c r="E26" s="15">
        <v>-2.3E-3</v>
      </c>
      <c r="F26" s="15">
        <v>1.6400000000000001E-2</v>
      </c>
      <c r="G26" s="15">
        <v>1.8800000000000001E-2</v>
      </c>
      <c r="H26" s="15">
        <v>-1.6400000000000001E-2</v>
      </c>
      <c r="I26" s="15">
        <v>-2.3E-3</v>
      </c>
      <c r="J26" s="15">
        <v>-7.4999999999999997E-3</v>
      </c>
      <c r="K26" s="15">
        <v>-1.5E-3</v>
      </c>
    </row>
    <row r="27" spans="1:11" x14ac:dyDescent="0.3">
      <c r="A27" s="13">
        <v>42978</v>
      </c>
      <c r="B27" s="15">
        <v>8.9999999999999998E-4</v>
      </c>
      <c r="C27" s="15">
        <v>1.8E-3</v>
      </c>
      <c r="D27" s="15">
        <v>-1.67E-2</v>
      </c>
      <c r="E27" s="15">
        <v>-2.1299999999999999E-2</v>
      </c>
      <c r="F27" s="15">
        <v>3.3599999999999998E-2</v>
      </c>
      <c r="G27" s="15">
        <v>1.8E-3</v>
      </c>
      <c r="H27" s="15">
        <v>-1.83E-2</v>
      </c>
      <c r="I27" s="15">
        <v>-2.1299999999999999E-2</v>
      </c>
      <c r="J27" s="15">
        <v>2E-3</v>
      </c>
      <c r="K27" s="15">
        <v>-2.3800000000000002E-2</v>
      </c>
    </row>
    <row r="28" spans="1:11" x14ac:dyDescent="0.3">
      <c r="A28" s="13">
        <v>43008</v>
      </c>
      <c r="B28" s="15">
        <v>8.9999999999999998E-4</v>
      </c>
      <c r="C28" s="15">
        <v>2.4899999999999999E-2</v>
      </c>
      <c r="D28" s="15">
        <v>4.4499999999999998E-2</v>
      </c>
      <c r="E28" s="15">
        <v>3.15E-2</v>
      </c>
      <c r="F28" s="15">
        <v>-1.34E-2</v>
      </c>
      <c r="G28" s="15">
        <v>2.4899999999999999E-2</v>
      </c>
      <c r="H28" s="15">
        <v>4.7600000000000003E-2</v>
      </c>
      <c r="I28" s="15">
        <v>3.15E-2</v>
      </c>
      <c r="J28" s="15">
        <v>-1.54E-2</v>
      </c>
      <c r="K28" s="15">
        <v>1.6400000000000001E-2</v>
      </c>
    </row>
    <row r="29" spans="1:11" x14ac:dyDescent="0.3">
      <c r="A29" s="13">
        <v>43039</v>
      </c>
      <c r="B29" s="15">
        <v>8.9999999999999998E-4</v>
      </c>
      <c r="C29" s="15">
        <v>2.2599999999999999E-2</v>
      </c>
      <c r="D29" s="15">
        <v>-1.9300000000000001E-2</v>
      </c>
      <c r="E29" s="15">
        <v>1.2999999999999999E-3</v>
      </c>
      <c r="F29" s="15">
        <v>4.24E-2</v>
      </c>
      <c r="G29" s="15">
        <v>2.2499999999999999E-2</v>
      </c>
      <c r="H29" s="15">
        <v>-1.9099999999999999E-2</v>
      </c>
      <c r="I29" s="15">
        <v>1.2999999999999999E-3</v>
      </c>
      <c r="J29" s="15">
        <v>9.1999999999999998E-3</v>
      </c>
      <c r="K29" s="15">
        <v>-3.1399999999999997E-2</v>
      </c>
    </row>
    <row r="30" spans="1:11" x14ac:dyDescent="0.3">
      <c r="A30" s="13">
        <v>43069</v>
      </c>
      <c r="B30" s="15">
        <v>8.0000000000000004E-4</v>
      </c>
      <c r="C30" s="15">
        <v>3.1199999999999999E-2</v>
      </c>
      <c r="D30" s="15">
        <v>-6.0000000000000001E-3</v>
      </c>
      <c r="E30" s="15">
        <v>-8.9999999999999998E-4</v>
      </c>
      <c r="F30" s="15">
        <v>-9.1000000000000004E-3</v>
      </c>
      <c r="G30" s="15">
        <v>3.1199999999999999E-2</v>
      </c>
      <c r="H30" s="15">
        <v>-3.7000000000000002E-3</v>
      </c>
      <c r="I30" s="15">
        <v>-8.9999999999999998E-4</v>
      </c>
      <c r="J30" s="15">
        <v>3.1899999999999998E-2</v>
      </c>
      <c r="K30" s="15">
        <v>-1E-3</v>
      </c>
    </row>
    <row r="31" spans="1:11" x14ac:dyDescent="0.3">
      <c r="A31" s="13">
        <v>43100</v>
      </c>
      <c r="B31" s="15">
        <v>8.9999999999999998E-4</v>
      </c>
      <c r="C31" s="15">
        <v>1.06E-2</v>
      </c>
      <c r="D31" s="15">
        <v>-1.32E-2</v>
      </c>
      <c r="E31" s="15">
        <v>5.0000000000000001E-4</v>
      </c>
      <c r="F31" s="15">
        <v>-1.5699999999999999E-2</v>
      </c>
      <c r="G31" s="15">
        <v>1.06E-2</v>
      </c>
      <c r="H31" s="15">
        <v>-1.0500000000000001E-2</v>
      </c>
      <c r="I31" s="15">
        <v>5.0000000000000001E-4</v>
      </c>
      <c r="J31" s="15">
        <v>7.3000000000000001E-3</v>
      </c>
      <c r="K31" s="15">
        <v>1.7899999999999999E-2</v>
      </c>
    </row>
    <row r="32" spans="1:11" x14ac:dyDescent="0.3">
      <c r="A32" s="13">
        <v>43131</v>
      </c>
      <c r="B32" s="15">
        <v>1.1000000000000001E-3</v>
      </c>
      <c r="C32" s="15">
        <v>5.5800000000000002E-2</v>
      </c>
      <c r="D32" s="15">
        <v>-3.1600000000000003E-2</v>
      </c>
      <c r="E32" s="15">
        <v>-1.32E-2</v>
      </c>
      <c r="F32" s="15">
        <v>4.0599999999999997E-2</v>
      </c>
      <c r="G32" s="15">
        <v>5.5800000000000002E-2</v>
      </c>
      <c r="H32" s="15">
        <v>-3.2099999999999997E-2</v>
      </c>
      <c r="I32" s="15">
        <v>-1.32E-2</v>
      </c>
      <c r="J32" s="15">
        <v>-7.4999999999999997E-3</v>
      </c>
      <c r="K32" s="15">
        <v>-1.0500000000000001E-2</v>
      </c>
    </row>
    <row r="33" spans="1:11" x14ac:dyDescent="0.3">
      <c r="A33" s="13">
        <v>43159</v>
      </c>
      <c r="B33" s="15">
        <v>1.1000000000000001E-3</v>
      </c>
      <c r="C33" s="15">
        <v>-3.6400000000000002E-2</v>
      </c>
      <c r="D33" s="15">
        <v>2.7000000000000001E-3</v>
      </c>
      <c r="E33" s="15">
        <v>-1.0999999999999999E-2</v>
      </c>
      <c r="F33" s="15">
        <v>3.5999999999999997E-2</v>
      </c>
      <c r="G33" s="15">
        <v>-3.6400000000000002E-2</v>
      </c>
      <c r="H33" s="15">
        <v>3.3999999999999998E-3</v>
      </c>
      <c r="I33" s="15">
        <v>-1.0999999999999999E-2</v>
      </c>
      <c r="J33" s="15">
        <v>5.3E-3</v>
      </c>
      <c r="K33" s="15">
        <v>-2.3599999999999999E-2</v>
      </c>
    </row>
    <row r="34" spans="1:11" x14ac:dyDescent="0.3">
      <c r="A34" s="13">
        <v>43190</v>
      </c>
      <c r="B34" s="15">
        <v>1.1999999999999999E-3</v>
      </c>
      <c r="C34" s="15">
        <v>-2.35E-2</v>
      </c>
      <c r="D34" s="15">
        <v>4.0500000000000001E-2</v>
      </c>
      <c r="E34" s="15">
        <v>-2.0999999999999999E-3</v>
      </c>
      <c r="F34" s="15">
        <v>-1.21E-2</v>
      </c>
      <c r="G34" s="15">
        <v>-2.35E-2</v>
      </c>
      <c r="H34" s="15">
        <v>3.61E-2</v>
      </c>
      <c r="I34" s="15">
        <v>-2.0999999999999999E-3</v>
      </c>
      <c r="J34" s="15">
        <v>-4.1999999999999997E-3</v>
      </c>
      <c r="K34" s="15">
        <v>8.0000000000000004E-4</v>
      </c>
    </row>
    <row r="35" spans="1:11" x14ac:dyDescent="0.3">
      <c r="A35" s="13">
        <v>43220</v>
      </c>
      <c r="B35" s="15">
        <v>1.4E-3</v>
      </c>
      <c r="C35" s="15">
        <v>2.7000000000000001E-3</v>
      </c>
      <c r="D35" s="15">
        <v>1.09E-2</v>
      </c>
      <c r="E35" s="15">
        <v>5.3E-3</v>
      </c>
      <c r="F35" s="15">
        <v>4.4999999999999997E-3</v>
      </c>
      <c r="G35" s="15">
        <v>2.8999999999999998E-3</v>
      </c>
      <c r="H35" s="15">
        <v>8.8999999999999999E-3</v>
      </c>
      <c r="I35" s="15">
        <v>5.3E-3</v>
      </c>
      <c r="J35" s="15">
        <v>-2.41E-2</v>
      </c>
      <c r="K35" s="15">
        <v>1.24E-2</v>
      </c>
    </row>
    <row r="36" spans="1:11" x14ac:dyDescent="0.3">
      <c r="A36" s="13">
        <v>43251</v>
      </c>
      <c r="B36" s="15">
        <v>1.4E-3</v>
      </c>
      <c r="C36" s="15">
        <v>2.6599999999999999E-2</v>
      </c>
      <c r="D36" s="15">
        <v>5.2400000000000002E-2</v>
      </c>
      <c r="E36" s="15">
        <v>-3.1399999999999997E-2</v>
      </c>
      <c r="F36" s="15">
        <v>3.9100000000000003E-2</v>
      </c>
      <c r="G36" s="15">
        <v>2.63E-2</v>
      </c>
      <c r="H36" s="15">
        <v>4.7100000000000003E-2</v>
      </c>
      <c r="I36" s="15">
        <v>-3.1399999999999997E-2</v>
      </c>
      <c r="J36" s="15">
        <v>-1.9800000000000002E-2</v>
      </c>
      <c r="K36" s="15">
        <v>-1.49E-2</v>
      </c>
    </row>
    <row r="37" spans="1:11" x14ac:dyDescent="0.3">
      <c r="A37" s="13">
        <v>43281</v>
      </c>
      <c r="B37" s="15">
        <v>1.4E-3</v>
      </c>
      <c r="C37" s="15">
        <v>4.8999999999999998E-3</v>
      </c>
      <c r="D37" s="15">
        <v>1.11E-2</v>
      </c>
      <c r="E37" s="15">
        <v>-2.3300000000000001E-2</v>
      </c>
      <c r="F37" s="15">
        <v>-2.29E-2</v>
      </c>
      <c r="G37" s="15">
        <v>4.8999999999999998E-3</v>
      </c>
      <c r="H37" s="15">
        <v>7.7000000000000002E-3</v>
      </c>
      <c r="I37" s="15">
        <v>-2.3300000000000001E-2</v>
      </c>
      <c r="J37" s="15">
        <v>8.3000000000000001E-3</v>
      </c>
      <c r="K37" s="15">
        <v>2E-3</v>
      </c>
    </row>
    <row r="38" spans="1:11" x14ac:dyDescent="0.3">
      <c r="A38" s="13">
        <v>43312</v>
      </c>
      <c r="B38" s="15">
        <v>1.6000000000000001E-3</v>
      </c>
      <c r="C38" s="15">
        <v>3.2000000000000001E-2</v>
      </c>
      <c r="D38" s="15">
        <v>-2.2200000000000001E-2</v>
      </c>
      <c r="E38" s="15">
        <v>4.7000000000000002E-3</v>
      </c>
      <c r="F38" s="15">
        <v>-1.43E-2</v>
      </c>
      <c r="G38" s="15">
        <v>3.2000000000000001E-2</v>
      </c>
      <c r="H38" s="15">
        <v>-1.9099999999999999E-2</v>
      </c>
      <c r="I38" s="15">
        <v>4.7000000000000002E-3</v>
      </c>
      <c r="J38" s="15">
        <v>1.54E-2</v>
      </c>
      <c r="K38" s="15">
        <v>3.2000000000000002E-3</v>
      </c>
    </row>
    <row r="39" spans="1:11" x14ac:dyDescent="0.3">
      <c r="A39" s="13">
        <v>43343</v>
      </c>
      <c r="B39" s="15">
        <v>1.6000000000000001E-3</v>
      </c>
      <c r="C39" s="15">
        <v>3.4500000000000003E-2</v>
      </c>
      <c r="D39" s="15">
        <v>1.17E-2</v>
      </c>
      <c r="E39" s="15">
        <v>-3.9300000000000002E-2</v>
      </c>
      <c r="F39" s="15">
        <v>5.33E-2</v>
      </c>
      <c r="G39" s="15">
        <v>3.4599999999999999E-2</v>
      </c>
      <c r="H39" s="15">
        <v>6.7000000000000002E-3</v>
      </c>
      <c r="I39" s="15">
        <v>-3.9300000000000002E-2</v>
      </c>
      <c r="J39" s="15">
        <v>-3.3999999999999998E-3</v>
      </c>
      <c r="K39" s="15">
        <v>-2.5399999999999999E-2</v>
      </c>
    </row>
    <row r="40" spans="1:11" x14ac:dyDescent="0.3">
      <c r="A40" s="13">
        <v>43373</v>
      </c>
      <c r="B40" s="15">
        <v>1.5E-3</v>
      </c>
      <c r="C40" s="15">
        <v>5.9999999999999995E-4</v>
      </c>
      <c r="D40" s="15">
        <v>-2.29E-2</v>
      </c>
      <c r="E40" s="15">
        <v>-1.6799999999999999E-2</v>
      </c>
      <c r="F40" s="15">
        <v>-1E-3</v>
      </c>
      <c r="G40" s="15">
        <v>5.9999999999999995E-4</v>
      </c>
      <c r="H40" s="15">
        <v>-2.4899999999999999E-2</v>
      </c>
      <c r="I40" s="15">
        <v>-1.6799999999999999E-2</v>
      </c>
      <c r="J40" s="15">
        <v>6.4000000000000003E-3</v>
      </c>
      <c r="K40" s="15">
        <v>1.37E-2</v>
      </c>
    </row>
    <row r="41" spans="1:11" x14ac:dyDescent="0.3">
      <c r="A41" s="13">
        <v>43404</v>
      </c>
      <c r="B41" s="15">
        <v>1.9E-3</v>
      </c>
      <c r="C41" s="15">
        <v>-7.6499999999999999E-2</v>
      </c>
      <c r="D41" s="15">
        <v>-4.6699999999999998E-2</v>
      </c>
      <c r="E41" s="15">
        <v>3.4299999999999997E-2</v>
      </c>
      <c r="F41" s="15">
        <v>-0.02</v>
      </c>
      <c r="G41" s="15">
        <v>-7.6399999999999996E-2</v>
      </c>
      <c r="H41" s="15">
        <v>-4.36E-2</v>
      </c>
      <c r="I41" s="15">
        <v>3.4299999999999997E-2</v>
      </c>
      <c r="J41" s="15">
        <v>9.4000000000000004E-3</v>
      </c>
      <c r="K41" s="15">
        <v>3.56E-2</v>
      </c>
    </row>
    <row r="42" spans="1:11" x14ac:dyDescent="0.3">
      <c r="A42" s="13">
        <v>43434</v>
      </c>
      <c r="B42" s="15">
        <v>1.8E-3</v>
      </c>
      <c r="C42" s="15">
        <v>1.7100000000000001E-2</v>
      </c>
      <c r="D42" s="15">
        <v>-7.1999999999999998E-3</v>
      </c>
      <c r="E42" s="15">
        <v>3.3999999999999998E-3</v>
      </c>
      <c r="F42" s="15">
        <v>-1.4200000000000001E-2</v>
      </c>
      <c r="G42" s="15">
        <v>1.7100000000000001E-2</v>
      </c>
      <c r="H42" s="15">
        <v>-8.0999999999999996E-3</v>
      </c>
      <c r="I42" s="15">
        <v>3.3999999999999998E-3</v>
      </c>
      <c r="J42" s="15">
        <v>-6.1999999999999998E-3</v>
      </c>
      <c r="K42" s="15">
        <v>3.8999999999999998E-3</v>
      </c>
    </row>
    <row r="43" spans="1:11" x14ac:dyDescent="0.3">
      <c r="A43" s="13">
        <v>43465</v>
      </c>
      <c r="B43" s="15">
        <v>1.9E-3</v>
      </c>
      <c r="C43" s="15">
        <v>-9.5500000000000002E-2</v>
      </c>
      <c r="D43" s="15">
        <v>-2.3300000000000001E-2</v>
      </c>
      <c r="E43" s="15">
        <v>-1.8800000000000001E-2</v>
      </c>
      <c r="F43" s="15">
        <v>1.7500000000000002E-2</v>
      </c>
      <c r="G43" s="15">
        <v>-9.5500000000000002E-2</v>
      </c>
      <c r="H43" s="15">
        <v>-2.8299999999999999E-2</v>
      </c>
      <c r="I43" s="15">
        <v>-1.8800000000000001E-2</v>
      </c>
      <c r="J43" s="15">
        <v>-4.0000000000000002E-4</v>
      </c>
      <c r="K43" s="15">
        <v>2.2000000000000001E-3</v>
      </c>
    </row>
    <row r="44" spans="1:11" x14ac:dyDescent="0.3">
      <c r="A44" s="13">
        <v>43496</v>
      </c>
      <c r="B44" s="15">
        <v>2.0999999999999999E-3</v>
      </c>
      <c r="C44" s="15">
        <v>8.3699999999999997E-2</v>
      </c>
      <c r="D44" s="15">
        <v>2.7300000000000001E-2</v>
      </c>
      <c r="E44" s="15">
        <v>-4.0000000000000001E-3</v>
      </c>
      <c r="F44" s="15">
        <v>-8.6400000000000005E-2</v>
      </c>
      <c r="G44" s="15">
        <v>8.3599999999999994E-2</v>
      </c>
      <c r="H44" s="15">
        <v>2.8799999999999999E-2</v>
      </c>
      <c r="I44" s="15">
        <v>-4.0000000000000001E-3</v>
      </c>
      <c r="J44" s="15">
        <v>-6.7000000000000002E-3</v>
      </c>
      <c r="K44" s="15">
        <v>-1.61E-2</v>
      </c>
    </row>
    <row r="45" spans="1:11" x14ac:dyDescent="0.3">
      <c r="A45" s="13">
        <v>43524</v>
      </c>
      <c r="B45" s="15">
        <v>1.8E-3</v>
      </c>
      <c r="C45" s="15">
        <v>3.4200000000000001E-2</v>
      </c>
      <c r="D45" s="15">
        <v>2.0500000000000001E-2</v>
      </c>
      <c r="E45" s="15">
        <v>-2.6599999999999999E-2</v>
      </c>
      <c r="F45" s="15">
        <v>7.6E-3</v>
      </c>
      <c r="G45" s="15">
        <v>3.4200000000000001E-2</v>
      </c>
      <c r="H45" s="15">
        <v>1.7299999999999999E-2</v>
      </c>
      <c r="I45" s="15">
        <v>-2.6599999999999999E-2</v>
      </c>
      <c r="J45" s="15">
        <v>1.5E-3</v>
      </c>
      <c r="K45" s="15">
        <v>-1.4999999999999999E-2</v>
      </c>
    </row>
    <row r="46" spans="1:11" x14ac:dyDescent="0.3">
      <c r="A46" s="13">
        <v>43555</v>
      </c>
      <c r="B46" s="15">
        <v>1.9E-3</v>
      </c>
      <c r="C46" s="15">
        <v>1.0999999999999999E-2</v>
      </c>
      <c r="D46" s="15">
        <v>-3.0599999999999999E-2</v>
      </c>
      <c r="E46" s="15">
        <v>-4.1599999999999998E-2</v>
      </c>
      <c r="F46" s="15">
        <v>2.2700000000000001E-2</v>
      </c>
      <c r="G46" s="15">
        <v>1.0999999999999999E-2</v>
      </c>
      <c r="H46" s="15">
        <v>-3.5400000000000001E-2</v>
      </c>
      <c r="I46" s="15">
        <v>-4.1599999999999998E-2</v>
      </c>
      <c r="J46" s="15">
        <v>9.4000000000000004E-3</v>
      </c>
      <c r="K46" s="15">
        <v>-9.1000000000000004E-3</v>
      </c>
    </row>
    <row r="47" spans="1:11" x14ac:dyDescent="0.3">
      <c r="A47" s="13">
        <v>43585</v>
      </c>
      <c r="B47" s="15">
        <v>2.0999999999999999E-3</v>
      </c>
      <c r="C47" s="15">
        <v>3.9699999999999999E-2</v>
      </c>
      <c r="D47" s="15">
        <v>-1.6899999999999998E-2</v>
      </c>
      <c r="E47" s="15">
        <v>2.1299999999999999E-2</v>
      </c>
      <c r="F47" s="15">
        <v>-2.9100000000000001E-2</v>
      </c>
      <c r="G47" s="15">
        <v>3.9699999999999999E-2</v>
      </c>
      <c r="H47" s="15">
        <v>-1.11E-2</v>
      </c>
      <c r="I47" s="15">
        <v>2.1299999999999999E-2</v>
      </c>
      <c r="J47" s="15">
        <v>1.5699999999999999E-2</v>
      </c>
      <c r="K47" s="15">
        <v>-2.1899999999999999E-2</v>
      </c>
    </row>
    <row r="48" spans="1:11" x14ac:dyDescent="0.3">
      <c r="A48" s="13">
        <v>43616</v>
      </c>
      <c r="B48" s="15">
        <v>2.0999999999999999E-3</v>
      </c>
      <c r="C48" s="15">
        <v>-6.9199999999999998E-2</v>
      </c>
      <c r="D48" s="15">
        <v>-1.2200000000000001E-2</v>
      </c>
      <c r="E48" s="15">
        <v>-2.3599999999999999E-2</v>
      </c>
      <c r="F48" s="15">
        <v>7.5600000000000001E-2</v>
      </c>
      <c r="G48" s="15">
        <v>-6.9199999999999998E-2</v>
      </c>
      <c r="H48" s="15">
        <v>-1.5100000000000001E-2</v>
      </c>
      <c r="I48" s="15">
        <v>-2.3599999999999999E-2</v>
      </c>
      <c r="J48" s="15">
        <v>-5.1000000000000004E-3</v>
      </c>
      <c r="K48" s="15">
        <v>1.7500000000000002E-2</v>
      </c>
    </row>
    <row r="49" spans="1:11" x14ac:dyDescent="0.3">
      <c r="A49" s="13">
        <v>43646</v>
      </c>
      <c r="B49" s="15">
        <v>1.8E-3</v>
      </c>
      <c r="C49" s="15">
        <v>6.9900000000000004E-2</v>
      </c>
      <c r="D49" s="15">
        <v>1E-3</v>
      </c>
      <c r="E49" s="15">
        <v>-7.1999999999999998E-3</v>
      </c>
      <c r="F49" s="15">
        <v>-2.2599999999999999E-2</v>
      </c>
      <c r="G49" s="15">
        <v>6.9900000000000004E-2</v>
      </c>
      <c r="H49" s="15">
        <v>1.9E-3</v>
      </c>
      <c r="I49" s="15">
        <v>-7.1999999999999998E-3</v>
      </c>
      <c r="J49" s="15">
        <v>4.8999999999999998E-3</v>
      </c>
      <c r="K49" s="15">
        <v>-5.1000000000000004E-3</v>
      </c>
    </row>
    <row r="50" spans="1:11" x14ac:dyDescent="0.3">
      <c r="A50" s="13">
        <v>43677</v>
      </c>
      <c r="B50" s="15">
        <v>1.9E-3</v>
      </c>
      <c r="C50" s="15">
        <v>1.23E-2</v>
      </c>
      <c r="D50" s="15">
        <v>-1.9599999999999999E-2</v>
      </c>
      <c r="E50" s="15">
        <v>5.0000000000000001E-3</v>
      </c>
      <c r="F50" s="15">
        <v>2.93E-2</v>
      </c>
      <c r="G50" s="15">
        <v>1.2200000000000001E-2</v>
      </c>
      <c r="H50" s="15">
        <v>-1.8200000000000001E-2</v>
      </c>
      <c r="I50" s="15">
        <v>5.0000000000000001E-3</v>
      </c>
      <c r="J50" s="15">
        <v>-1.2999999999999999E-3</v>
      </c>
      <c r="K50" s="15">
        <v>3.7000000000000002E-3</v>
      </c>
    </row>
    <row r="51" spans="1:11" x14ac:dyDescent="0.3">
      <c r="A51" s="13">
        <v>43708</v>
      </c>
      <c r="B51" s="15">
        <v>1.6000000000000001E-3</v>
      </c>
      <c r="C51" s="15">
        <v>-2.5499999999999998E-2</v>
      </c>
      <c r="D51" s="15">
        <v>-2.3900000000000001E-2</v>
      </c>
      <c r="E51" s="15">
        <v>-4.7699999999999999E-2</v>
      </c>
      <c r="F51" s="15">
        <v>7.4700000000000003E-2</v>
      </c>
      <c r="G51" s="15">
        <v>-2.5499999999999998E-2</v>
      </c>
      <c r="H51" s="15">
        <v>-3.2500000000000001E-2</v>
      </c>
      <c r="I51" s="15">
        <v>-4.7699999999999999E-2</v>
      </c>
      <c r="J51" s="15">
        <v>5.3E-3</v>
      </c>
      <c r="K51" s="15">
        <v>-6.1999999999999998E-3</v>
      </c>
    </row>
    <row r="52" spans="1:11" x14ac:dyDescent="0.3">
      <c r="A52" s="13">
        <v>43738</v>
      </c>
      <c r="B52" s="15">
        <v>1.8E-3</v>
      </c>
      <c r="C52" s="15">
        <v>1.41E-2</v>
      </c>
      <c r="D52" s="15">
        <v>-9.7000000000000003E-3</v>
      </c>
      <c r="E52" s="15">
        <v>6.7599999999999993E-2</v>
      </c>
      <c r="F52" s="15">
        <v>-6.7400000000000002E-2</v>
      </c>
      <c r="G52" s="15">
        <v>1.4200000000000001E-2</v>
      </c>
      <c r="H52" s="15">
        <v>2.8999999999999998E-3</v>
      </c>
      <c r="I52" s="15">
        <v>6.7599999999999993E-2</v>
      </c>
      <c r="J52" s="15">
        <v>1.8200000000000001E-2</v>
      </c>
      <c r="K52" s="15">
        <v>3.3799999999999997E-2</v>
      </c>
    </row>
    <row r="53" spans="1:11" x14ac:dyDescent="0.3">
      <c r="A53" s="13">
        <v>43769</v>
      </c>
      <c r="B53" s="15">
        <v>1.5E-3</v>
      </c>
      <c r="C53" s="15">
        <v>2.07E-2</v>
      </c>
      <c r="D53" s="15">
        <v>2.7000000000000001E-3</v>
      </c>
      <c r="E53" s="15">
        <v>-1.9199999999999998E-2</v>
      </c>
      <c r="F53" s="15">
        <v>1.2999999999999999E-3</v>
      </c>
      <c r="G53" s="15">
        <v>2.07E-2</v>
      </c>
      <c r="H53" s="15">
        <v>2.5000000000000001E-3</v>
      </c>
      <c r="I53" s="15">
        <v>-1.9199999999999998E-2</v>
      </c>
      <c r="J53" s="15">
        <v>4.3E-3</v>
      </c>
      <c r="K53" s="15">
        <v>-1.03E-2</v>
      </c>
    </row>
    <row r="54" spans="1:11" x14ac:dyDescent="0.3">
      <c r="A54" s="13">
        <v>43799</v>
      </c>
      <c r="B54" s="15">
        <v>1.1999999999999999E-3</v>
      </c>
      <c r="C54" s="15">
        <v>3.8699999999999998E-2</v>
      </c>
      <c r="D54" s="15">
        <v>7.1999999999999998E-3</v>
      </c>
      <c r="E54" s="15">
        <v>-0.02</v>
      </c>
      <c r="F54" s="15">
        <v>-2.6100000000000002E-2</v>
      </c>
      <c r="G54" s="15">
        <v>3.8699999999999998E-2</v>
      </c>
      <c r="H54" s="15">
        <v>3.8999999999999998E-3</v>
      </c>
      <c r="I54" s="15">
        <v>-0.02</v>
      </c>
      <c r="J54" s="15">
        <v>-1.6400000000000001E-2</v>
      </c>
      <c r="K54" s="15">
        <v>-1.14E-2</v>
      </c>
    </row>
    <row r="55" spans="1:11" x14ac:dyDescent="0.3">
      <c r="A55" s="13">
        <v>43830</v>
      </c>
      <c r="B55" s="15">
        <v>1.4E-3</v>
      </c>
      <c r="C55" s="15">
        <v>2.7699999999999999E-2</v>
      </c>
      <c r="D55" s="15">
        <v>7.6E-3</v>
      </c>
      <c r="E55" s="15">
        <v>1.7299999999999999E-2</v>
      </c>
      <c r="F55" s="15">
        <v>-2.24E-2</v>
      </c>
      <c r="G55" s="15">
        <v>2.76E-2</v>
      </c>
      <c r="H55" s="15">
        <v>9.9000000000000008E-3</v>
      </c>
      <c r="I55" s="15">
        <v>1.7299999999999999E-2</v>
      </c>
      <c r="J55" s="15">
        <v>5.0000000000000001E-4</v>
      </c>
      <c r="K55" s="15">
        <v>1.1900000000000001E-2</v>
      </c>
    </row>
    <row r="56" spans="1:11" x14ac:dyDescent="0.3">
      <c r="A56" s="13">
        <v>43861</v>
      </c>
      <c r="B56" s="15">
        <v>1.2999999999999999E-3</v>
      </c>
      <c r="C56" s="15">
        <v>-1.1000000000000001E-3</v>
      </c>
      <c r="D56" s="15">
        <v>-3.1E-2</v>
      </c>
      <c r="E56" s="15">
        <v>-6.2199999999999998E-2</v>
      </c>
      <c r="F56" s="15">
        <v>6.0199999999999997E-2</v>
      </c>
      <c r="G56" s="15">
        <v>-8.9999999999999998E-4</v>
      </c>
      <c r="H56" s="15">
        <v>-4.3700000000000003E-2</v>
      </c>
      <c r="I56" s="15">
        <v>-6.2199999999999998E-2</v>
      </c>
      <c r="J56" s="15">
        <v>-1.1900000000000001E-2</v>
      </c>
      <c r="K56" s="15">
        <v>-2.1899999999999999E-2</v>
      </c>
    </row>
    <row r="57" spans="1:11" x14ac:dyDescent="0.3">
      <c r="A57" s="13">
        <v>43890</v>
      </c>
      <c r="B57" s="15">
        <v>1.1999999999999999E-3</v>
      </c>
      <c r="C57" s="15">
        <v>-8.1500000000000003E-2</v>
      </c>
      <c r="D57" s="15">
        <v>1.0800000000000001E-2</v>
      </c>
      <c r="E57" s="15">
        <v>-3.8199999999999998E-2</v>
      </c>
      <c r="F57" s="15">
        <v>-2.5000000000000001E-3</v>
      </c>
      <c r="G57" s="15">
        <v>-8.1500000000000003E-2</v>
      </c>
      <c r="H57" s="15">
        <v>8.0000000000000004E-4</v>
      </c>
      <c r="I57" s="15">
        <v>-3.8199999999999998E-2</v>
      </c>
      <c r="J57" s="15">
        <v>-1.43E-2</v>
      </c>
      <c r="K57" s="15">
        <v>-2.53E-2</v>
      </c>
    </row>
    <row r="58" spans="1:11" x14ac:dyDescent="0.3">
      <c r="A58" s="13">
        <v>43921</v>
      </c>
      <c r="B58" s="15">
        <v>1.1999999999999999E-3</v>
      </c>
      <c r="C58" s="15">
        <v>-0.13370000000000001</v>
      </c>
      <c r="D58" s="15">
        <v>-4.6899999999999997E-2</v>
      </c>
      <c r="E58" s="15">
        <v>-0.13830000000000001</v>
      </c>
      <c r="F58" s="15">
        <v>8.2000000000000003E-2</v>
      </c>
      <c r="G58" s="15">
        <v>-0.13350000000000001</v>
      </c>
      <c r="H58" s="15">
        <v>-8.1799999999999998E-2</v>
      </c>
      <c r="I58" s="15">
        <v>-0.13830000000000001</v>
      </c>
      <c r="J58" s="15">
        <v>-1.61E-2</v>
      </c>
      <c r="K58" s="15">
        <v>1.1900000000000001E-2</v>
      </c>
    </row>
    <row r="59" spans="1:11" x14ac:dyDescent="0.3">
      <c r="A59" s="13">
        <v>43951</v>
      </c>
      <c r="B59" s="15">
        <v>0</v>
      </c>
      <c r="C59" s="15">
        <v>0.13600000000000001</v>
      </c>
      <c r="D59" s="15">
        <v>2.5000000000000001E-2</v>
      </c>
      <c r="E59" s="15">
        <v>-1.34E-2</v>
      </c>
      <c r="F59" s="15">
        <v>-5.6099999999999997E-2</v>
      </c>
      <c r="G59" s="15">
        <v>0.1358</v>
      </c>
      <c r="H59" s="15">
        <v>2.5700000000000001E-2</v>
      </c>
      <c r="I59" s="15">
        <v>-1.34E-2</v>
      </c>
      <c r="J59" s="15">
        <v>2.76E-2</v>
      </c>
      <c r="K59" s="15">
        <v>-1.0200000000000001E-2</v>
      </c>
    </row>
    <row r="60" spans="1:11" x14ac:dyDescent="0.3">
      <c r="A60" s="13">
        <v>43982</v>
      </c>
      <c r="B60" s="15">
        <v>1E-4</v>
      </c>
      <c r="C60" s="15">
        <v>5.57E-2</v>
      </c>
      <c r="D60" s="15">
        <v>2.4E-2</v>
      </c>
      <c r="E60" s="15">
        <v>-0.05</v>
      </c>
      <c r="F60" s="15">
        <v>1.5E-3</v>
      </c>
      <c r="G60" s="15">
        <v>5.5899999999999998E-2</v>
      </c>
      <c r="H60" s="15">
        <v>1.9199999999999998E-2</v>
      </c>
      <c r="I60" s="15">
        <v>-0.05</v>
      </c>
      <c r="J60" s="15">
        <v>9.5999999999999992E-3</v>
      </c>
      <c r="K60" s="15">
        <v>-3.1600000000000003E-2</v>
      </c>
    </row>
    <row r="61" spans="1:11" x14ac:dyDescent="0.3">
      <c r="A61" s="13">
        <v>44012</v>
      </c>
      <c r="B61" s="15">
        <v>1E-4</v>
      </c>
      <c r="C61" s="15">
        <v>2.4500000000000001E-2</v>
      </c>
      <c r="D61" s="15">
        <v>2.6700000000000002E-2</v>
      </c>
      <c r="E61" s="15">
        <v>-2.1700000000000001E-2</v>
      </c>
      <c r="F61" s="15">
        <v>-8.6999999999999994E-3</v>
      </c>
      <c r="G61" s="15">
        <v>2.4400000000000002E-2</v>
      </c>
      <c r="H61" s="15">
        <v>1.95E-2</v>
      </c>
      <c r="I61" s="15">
        <v>-2.1700000000000001E-2</v>
      </c>
      <c r="J61" s="15">
        <v>1.4E-3</v>
      </c>
      <c r="K61" s="15">
        <v>5.4999999999999997E-3</v>
      </c>
    </row>
    <row r="62" spans="1:11" x14ac:dyDescent="0.3">
      <c r="A62" s="13">
        <v>44043</v>
      </c>
      <c r="B62" s="15">
        <v>1E-4</v>
      </c>
      <c r="C62" s="15">
        <v>5.8299999999999998E-2</v>
      </c>
      <c r="D62" s="15">
        <v>-2.35E-2</v>
      </c>
      <c r="E62" s="15">
        <v>-1.44E-2</v>
      </c>
      <c r="F62" s="15">
        <v>7.6999999999999999E-2</v>
      </c>
      <c r="G62" s="15">
        <v>5.8299999999999998E-2</v>
      </c>
      <c r="H62" s="15">
        <v>-3.1899999999999998E-2</v>
      </c>
      <c r="I62" s="15">
        <v>-1.44E-2</v>
      </c>
      <c r="J62" s="15">
        <v>3.8E-3</v>
      </c>
      <c r="K62" s="15">
        <v>9.7000000000000003E-3</v>
      </c>
    </row>
    <row r="63" spans="1:11" x14ac:dyDescent="0.3">
      <c r="A63" s="13">
        <v>44074</v>
      </c>
      <c r="B63" s="15">
        <v>1E-4</v>
      </c>
      <c r="C63" s="15">
        <v>7.6200000000000004E-2</v>
      </c>
      <c r="D63" s="15">
        <v>-2E-3</v>
      </c>
      <c r="E63" s="15">
        <v>-3.0200000000000001E-2</v>
      </c>
      <c r="F63" s="15">
        <v>4.3E-3</v>
      </c>
      <c r="G63" s="15">
        <v>7.6200000000000004E-2</v>
      </c>
      <c r="H63" s="15">
        <v>-8.8999999999999999E-3</v>
      </c>
      <c r="I63" s="15">
        <v>-3.0200000000000001E-2</v>
      </c>
      <c r="J63" s="15">
        <v>4.2700000000000002E-2</v>
      </c>
      <c r="K63" s="15">
        <v>-1.5100000000000001E-2</v>
      </c>
    </row>
    <row r="64" spans="1:11" x14ac:dyDescent="0.3">
      <c r="A64" s="13">
        <v>44104</v>
      </c>
      <c r="B64" s="15">
        <v>1E-4</v>
      </c>
      <c r="C64" s="15">
        <v>-3.6400000000000002E-2</v>
      </c>
      <c r="D64" s="15">
        <v>5.9999999999999995E-4</v>
      </c>
      <c r="E64" s="15">
        <v>-2.7199999999999998E-2</v>
      </c>
      <c r="F64" s="15">
        <v>3.1800000000000002E-2</v>
      </c>
      <c r="G64" s="15">
        <v>-3.6400000000000002E-2</v>
      </c>
      <c r="H64" s="15">
        <v>-1E-4</v>
      </c>
      <c r="I64" s="15">
        <v>-2.7199999999999998E-2</v>
      </c>
      <c r="J64" s="15">
        <v>-1.38E-2</v>
      </c>
      <c r="K64" s="15">
        <v>-1.9300000000000001E-2</v>
      </c>
    </row>
    <row r="65" spans="1:11" x14ac:dyDescent="0.3">
      <c r="A65" s="13">
        <v>44135</v>
      </c>
      <c r="B65" s="15">
        <v>1E-4</v>
      </c>
      <c r="C65" s="15">
        <v>-2.0799999999999999E-2</v>
      </c>
      <c r="D65" s="15">
        <v>4.3400000000000001E-2</v>
      </c>
      <c r="E65" s="15">
        <v>4.2500000000000003E-2</v>
      </c>
      <c r="F65" s="15">
        <v>-3.1E-2</v>
      </c>
      <c r="G65" s="15">
        <v>-2.0799999999999999E-2</v>
      </c>
      <c r="H65" s="15">
        <v>4.6699999999999998E-2</v>
      </c>
      <c r="I65" s="15">
        <v>4.2500000000000003E-2</v>
      </c>
      <c r="J65" s="15">
        <v>-7.7000000000000002E-3</v>
      </c>
      <c r="K65" s="15">
        <v>-5.7000000000000002E-3</v>
      </c>
    </row>
    <row r="66" spans="1:11" x14ac:dyDescent="0.3">
      <c r="A66" s="13">
        <v>44165</v>
      </c>
      <c r="B66" s="15">
        <v>1E-4</v>
      </c>
      <c r="C66" s="15">
        <v>0.1245</v>
      </c>
      <c r="D66" s="15">
        <v>5.8099999999999999E-2</v>
      </c>
      <c r="E66" s="15">
        <v>2.0899999999999998E-2</v>
      </c>
      <c r="F66" s="15">
        <v>-0.126</v>
      </c>
      <c r="G66" s="15">
        <v>0.1244</v>
      </c>
      <c r="H66" s="15">
        <v>7.1199999999999999E-2</v>
      </c>
      <c r="I66" s="15">
        <v>2.0899999999999998E-2</v>
      </c>
      <c r="J66" s="15">
        <v>-2.2499999999999999E-2</v>
      </c>
      <c r="K66" s="15">
        <v>1.2800000000000001E-2</v>
      </c>
    </row>
    <row r="67" spans="1:11" x14ac:dyDescent="0.3">
      <c r="A67" s="13">
        <v>44196</v>
      </c>
      <c r="B67" s="15">
        <v>1E-4</v>
      </c>
      <c r="C67" s="15">
        <v>4.6300000000000001E-2</v>
      </c>
      <c r="D67" s="15">
        <v>5.0099999999999999E-2</v>
      </c>
      <c r="E67" s="15">
        <v>-1.6799999999999999E-2</v>
      </c>
      <c r="F67" s="15">
        <v>-2.2599999999999999E-2</v>
      </c>
      <c r="G67" s="15">
        <v>4.6300000000000001E-2</v>
      </c>
      <c r="H67" s="15">
        <v>4.9299999999999997E-2</v>
      </c>
      <c r="I67" s="15">
        <v>-1.6799999999999999E-2</v>
      </c>
      <c r="J67" s="15">
        <v>-1.9699999999999999E-2</v>
      </c>
      <c r="K67" s="15">
        <v>-5.9999999999999995E-4</v>
      </c>
    </row>
    <row r="68" spans="1:11" x14ac:dyDescent="0.3">
      <c r="A68" s="13">
        <v>44227</v>
      </c>
      <c r="B68" s="15">
        <v>0</v>
      </c>
      <c r="C68" s="15">
        <v>-6.9999999999999999E-4</v>
      </c>
      <c r="D68" s="15">
        <v>7.1400000000000005E-2</v>
      </c>
      <c r="E68" s="15">
        <v>3.2199999999999999E-2</v>
      </c>
      <c r="F68" s="15">
        <v>4.3400000000000001E-2</v>
      </c>
      <c r="G68" s="15">
        <v>-6.9999999999999999E-4</v>
      </c>
      <c r="H68" s="15">
        <v>6.8099999999999994E-2</v>
      </c>
      <c r="I68" s="15">
        <v>3.2199999999999999E-2</v>
      </c>
      <c r="J68" s="15">
        <v>-3.6499999999999998E-2</v>
      </c>
      <c r="K68" s="15">
        <v>4.9700000000000001E-2</v>
      </c>
    </row>
    <row r="69" spans="1:11" x14ac:dyDescent="0.3">
      <c r="A69" s="13">
        <v>44255</v>
      </c>
      <c r="B69" s="15">
        <v>0</v>
      </c>
      <c r="C69" s="15">
        <v>2.81E-2</v>
      </c>
      <c r="D69" s="15">
        <v>2.0199999999999999E-2</v>
      </c>
      <c r="E69" s="15">
        <v>7.1999999999999995E-2</v>
      </c>
      <c r="F69" s="15">
        <v>-7.9899999999999999E-2</v>
      </c>
      <c r="G69" s="15">
        <v>2.81E-2</v>
      </c>
      <c r="H69" s="15">
        <v>4.4999999999999998E-2</v>
      </c>
      <c r="I69" s="15">
        <v>7.1999999999999995E-2</v>
      </c>
      <c r="J69" s="15">
        <v>3.3E-3</v>
      </c>
      <c r="K69" s="15">
        <v>-1.9900000000000001E-2</v>
      </c>
    </row>
    <row r="70" spans="1:11" x14ac:dyDescent="0.3">
      <c r="A70" s="13">
        <v>44286</v>
      </c>
      <c r="B70" s="15">
        <v>0</v>
      </c>
      <c r="C70" s="15">
        <v>3.1699999999999999E-2</v>
      </c>
      <c r="D70" s="15">
        <v>-2.3300000000000001E-2</v>
      </c>
      <c r="E70" s="15">
        <v>7.3499999999999996E-2</v>
      </c>
      <c r="F70" s="15">
        <v>-6.0999999999999999E-2</v>
      </c>
      <c r="G70" s="15">
        <v>3.1600000000000003E-2</v>
      </c>
      <c r="H70" s="15">
        <v>-8.3999999999999995E-3</v>
      </c>
      <c r="I70" s="15">
        <v>7.3499999999999996E-2</v>
      </c>
      <c r="J70" s="15">
        <v>6.3500000000000001E-2</v>
      </c>
      <c r="K70" s="15">
        <v>3.5200000000000002E-2</v>
      </c>
    </row>
    <row r="71" spans="1:11" x14ac:dyDescent="0.3">
      <c r="A71" s="13">
        <v>44316</v>
      </c>
      <c r="B71" s="15">
        <v>0</v>
      </c>
      <c r="C71" s="15">
        <v>4.9500000000000002E-2</v>
      </c>
      <c r="D71" s="15">
        <v>-3.1899999999999998E-2</v>
      </c>
      <c r="E71" s="15">
        <v>-1.0200000000000001E-2</v>
      </c>
      <c r="F71" s="15">
        <v>1.2200000000000001E-2</v>
      </c>
      <c r="G71" s="15">
        <v>4.9700000000000001E-2</v>
      </c>
      <c r="H71" s="15">
        <v>-3.1600000000000003E-2</v>
      </c>
      <c r="I71" s="15">
        <v>-1.0200000000000001E-2</v>
      </c>
      <c r="J71" s="15">
        <v>2.4299999999999999E-2</v>
      </c>
      <c r="K71" s="15">
        <v>-2.7199999999999998E-2</v>
      </c>
    </row>
    <row r="72" spans="1:11" x14ac:dyDescent="0.3">
      <c r="A72" s="13">
        <v>44347</v>
      </c>
      <c r="B72" s="15">
        <v>0</v>
      </c>
      <c r="C72" s="15">
        <v>3.0000000000000001E-3</v>
      </c>
      <c r="D72" s="15">
        <v>-2E-3</v>
      </c>
      <c r="E72" s="15">
        <v>7.0400000000000004E-2</v>
      </c>
      <c r="F72" s="15">
        <v>5.5999999999999999E-3</v>
      </c>
      <c r="G72" s="15">
        <v>2.8999999999999998E-3</v>
      </c>
      <c r="H72" s="15">
        <v>1.2699999999999999E-2</v>
      </c>
      <c r="I72" s="15">
        <v>7.0400000000000004E-2</v>
      </c>
      <c r="J72" s="15">
        <v>2.3400000000000001E-2</v>
      </c>
      <c r="K72" s="15">
        <v>3.0099999999999998E-2</v>
      </c>
    </row>
    <row r="73" spans="1:11" x14ac:dyDescent="0.3">
      <c r="A73" s="13">
        <v>44377</v>
      </c>
      <c r="B73" s="15">
        <v>0</v>
      </c>
      <c r="C73" s="15">
        <v>2.7400000000000001E-2</v>
      </c>
      <c r="D73" s="15">
        <v>1.7000000000000001E-2</v>
      </c>
      <c r="E73" s="15">
        <v>-7.8600000000000003E-2</v>
      </c>
      <c r="F73" s="15">
        <v>2.07E-2</v>
      </c>
      <c r="G73" s="15">
        <v>2.7300000000000001E-2</v>
      </c>
      <c r="H73" s="15">
        <v>-3.0000000000000001E-3</v>
      </c>
      <c r="I73" s="15">
        <v>-7.8600000000000003E-2</v>
      </c>
      <c r="J73" s="15">
        <v>-2.1399999999999999E-2</v>
      </c>
      <c r="K73" s="15">
        <v>-9.2999999999999992E-3</v>
      </c>
    </row>
    <row r="74" spans="1:11" x14ac:dyDescent="0.3">
      <c r="A74" s="13">
        <v>44408</v>
      </c>
      <c r="B74" s="15">
        <v>0</v>
      </c>
      <c r="C74" s="15">
        <v>1.34E-2</v>
      </c>
      <c r="D74" s="15">
        <v>-3.9300000000000002E-2</v>
      </c>
      <c r="E74" s="15">
        <v>-1.7999999999999999E-2</v>
      </c>
      <c r="F74" s="15">
        <v>-2.18E-2</v>
      </c>
      <c r="G74" s="15">
        <v>1.34E-2</v>
      </c>
      <c r="H74" s="15">
        <v>-4.5499999999999999E-2</v>
      </c>
      <c r="I74" s="15">
        <v>-1.7999999999999999E-2</v>
      </c>
      <c r="J74" s="15">
        <v>5.5E-2</v>
      </c>
      <c r="K74" s="15">
        <v>-5.7999999999999996E-3</v>
      </c>
    </row>
    <row r="75" spans="1:11" x14ac:dyDescent="0.3">
      <c r="A75" s="13">
        <v>44439</v>
      </c>
      <c r="B75" s="15">
        <v>0</v>
      </c>
      <c r="C75" s="15">
        <v>2.9399999999999999E-2</v>
      </c>
      <c r="D75" s="15">
        <v>-3.2000000000000002E-3</v>
      </c>
      <c r="E75" s="15">
        <v>-2.3E-3</v>
      </c>
      <c r="F75" s="15">
        <v>2.63E-2</v>
      </c>
      <c r="G75" s="15">
        <v>2.9499999999999998E-2</v>
      </c>
      <c r="H75" s="15">
        <v>-6.6E-3</v>
      </c>
      <c r="I75" s="15">
        <v>-2.3E-3</v>
      </c>
      <c r="J75" s="15">
        <v>-2.5999999999999999E-3</v>
      </c>
      <c r="K75" s="15">
        <v>-1.72E-2</v>
      </c>
    </row>
    <row r="76" spans="1:11" x14ac:dyDescent="0.3">
      <c r="A76" s="13">
        <v>44469</v>
      </c>
      <c r="B76" s="15">
        <v>0</v>
      </c>
      <c r="C76" s="15">
        <v>-4.3999999999999997E-2</v>
      </c>
      <c r="D76" s="15">
        <v>6.6E-3</v>
      </c>
      <c r="E76" s="15">
        <v>5.1200000000000002E-2</v>
      </c>
      <c r="F76" s="15">
        <v>1.43E-2</v>
      </c>
      <c r="G76" s="15">
        <v>-4.3999999999999997E-2</v>
      </c>
      <c r="H76" s="15">
        <v>1.12E-2</v>
      </c>
      <c r="I76" s="15">
        <v>5.1200000000000002E-2</v>
      </c>
      <c r="J76" s="15">
        <v>-1.9199999999999998E-2</v>
      </c>
      <c r="K76" s="15">
        <v>0.02</v>
      </c>
    </row>
    <row r="77" spans="1:11" x14ac:dyDescent="0.3">
      <c r="A77" s="13">
        <v>44500</v>
      </c>
      <c r="B77" s="15">
        <v>0</v>
      </c>
      <c r="C77" s="15">
        <v>6.6299999999999998E-2</v>
      </c>
      <c r="D77" s="15">
        <v>-2.2599999999999999E-2</v>
      </c>
      <c r="E77" s="15">
        <v>-5.3E-3</v>
      </c>
      <c r="F77" s="15">
        <v>3.3099999999999997E-2</v>
      </c>
      <c r="G77" s="15">
        <v>6.6299999999999998E-2</v>
      </c>
      <c r="H77" s="15">
        <v>-2.7E-2</v>
      </c>
      <c r="I77" s="15">
        <v>-5.3E-3</v>
      </c>
      <c r="J77" s="15">
        <v>1.7100000000000001E-2</v>
      </c>
      <c r="K77" s="15">
        <v>-1.54E-2</v>
      </c>
    </row>
    <row r="78" spans="1:11" x14ac:dyDescent="0.3">
      <c r="A78" s="13">
        <v>44530</v>
      </c>
      <c r="B78" s="15">
        <v>0</v>
      </c>
      <c r="C78" s="15">
        <v>-1.5800000000000002E-2</v>
      </c>
      <c r="D78" s="15">
        <v>-1.3100000000000001E-2</v>
      </c>
      <c r="E78" s="15">
        <v>-3.7000000000000002E-3</v>
      </c>
      <c r="F78" s="15">
        <v>9.5999999999999992E-3</v>
      </c>
      <c r="G78" s="15">
        <v>-1.5800000000000002E-2</v>
      </c>
      <c r="H78" s="15">
        <v>-1.7000000000000001E-2</v>
      </c>
      <c r="I78" s="15">
        <v>-3.7000000000000002E-3</v>
      </c>
      <c r="J78" s="15">
        <v>7.1900000000000006E-2</v>
      </c>
      <c r="K78" s="15">
        <v>1.7000000000000001E-2</v>
      </c>
    </row>
    <row r="79" spans="1:11" x14ac:dyDescent="0.3">
      <c r="A79" s="13">
        <v>44561</v>
      </c>
      <c r="B79" s="15">
        <v>1E-4</v>
      </c>
      <c r="C79" s="15">
        <v>3.2300000000000002E-2</v>
      </c>
      <c r="D79" s="15">
        <v>-1.6299999999999999E-2</v>
      </c>
      <c r="E79" s="15">
        <v>3.2500000000000001E-2</v>
      </c>
      <c r="F79" s="15">
        <v>-2.4E-2</v>
      </c>
      <c r="G79" s="15">
        <v>3.2399999999999998E-2</v>
      </c>
      <c r="H79" s="15">
        <v>-7.7999999999999996E-3</v>
      </c>
      <c r="I79" s="15">
        <v>3.2500000000000001E-2</v>
      </c>
      <c r="J79" s="15">
        <v>4.8800000000000003E-2</v>
      </c>
      <c r="K79" s="15">
        <v>4.2900000000000001E-2</v>
      </c>
    </row>
    <row r="80" spans="1:11" x14ac:dyDescent="0.3">
      <c r="A80" s="13">
        <v>44592</v>
      </c>
      <c r="B80" s="15">
        <v>0</v>
      </c>
      <c r="C80" s="15">
        <v>-6.1600000000000002E-2</v>
      </c>
      <c r="D80" s="15">
        <v>-5.9299999999999999E-2</v>
      </c>
      <c r="E80" s="15">
        <v>0.12859999999999999</v>
      </c>
      <c r="F80" s="15">
        <v>-2.4299999999999999E-2</v>
      </c>
      <c r="G80" s="15">
        <v>-6.1499999999999999E-2</v>
      </c>
      <c r="H80" s="15">
        <v>-4.0099999999999997E-2</v>
      </c>
      <c r="I80" s="15">
        <v>0.12859999999999999</v>
      </c>
      <c r="J80" s="15">
        <v>7.7000000000000002E-3</v>
      </c>
      <c r="K80" s="15">
        <v>7.7299999999999994E-2</v>
      </c>
    </row>
    <row r="81" spans="1:11" x14ac:dyDescent="0.3">
      <c r="A81" s="13">
        <v>44620</v>
      </c>
      <c r="B81" s="15">
        <v>0</v>
      </c>
      <c r="C81" s="15">
        <v>-2.2800000000000001E-2</v>
      </c>
      <c r="D81" s="15">
        <v>2.1600000000000001E-2</v>
      </c>
      <c r="E81" s="15">
        <v>3.0599999999999999E-2</v>
      </c>
      <c r="F81" s="15">
        <v>1.6199999999999999E-2</v>
      </c>
      <c r="G81" s="15">
        <v>-2.2800000000000001E-2</v>
      </c>
      <c r="H81" s="15">
        <v>2.86E-2</v>
      </c>
      <c r="I81" s="15">
        <v>3.0599999999999999E-2</v>
      </c>
      <c r="J81" s="15">
        <v>-2.0299999999999999E-2</v>
      </c>
      <c r="K81" s="15">
        <v>3.0300000000000001E-2</v>
      </c>
    </row>
    <row r="82" spans="1:11" x14ac:dyDescent="0.3">
      <c r="A82" s="13">
        <v>44651</v>
      </c>
      <c r="B82" s="15">
        <v>0</v>
      </c>
      <c r="C82" s="15">
        <v>3.0800000000000001E-2</v>
      </c>
      <c r="D82" s="15">
        <v>-1.55E-2</v>
      </c>
      <c r="E82" s="15">
        <v>-1.9E-2</v>
      </c>
      <c r="F82" s="15">
        <v>2.92E-2</v>
      </c>
      <c r="G82" s="15">
        <v>3.0800000000000001E-2</v>
      </c>
      <c r="H82" s="15">
        <v>-2.1100000000000001E-2</v>
      </c>
      <c r="I82" s="15">
        <v>-1.9E-2</v>
      </c>
      <c r="J82" s="15">
        <v>-1.4999999999999999E-2</v>
      </c>
      <c r="K82" s="15">
        <v>3.2099999999999997E-2</v>
      </c>
    </row>
    <row r="83" spans="1:11" x14ac:dyDescent="0.3">
      <c r="A83" s="13">
        <v>44681</v>
      </c>
      <c r="B83" s="15">
        <v>0</v>
      </c>
      <c r="C83" s="15">
        <v>-9.4100000000000003E-2</v>
      </c>
      <c r="D83" s="15">
        <v>-1.35E-2</v>
      </c>
      <c r="E83" s="15">
        <v>6.1800000000000001E-2</v>
      </c>
      <c r="F83" s="15">
        <v>4.9799999999999997E-2</v>
      </c>
      <c r="G83" s="15">
        <v>-9.4100000000000003E-2</v>
      </c>
      <c r="H83" s="15">
        <v>-3.5000000000000001E-3</v>
      </c>
      <c r="I83" s="15">
        <v>6.1800000000000001E-2</v>
      </c>
      <c r="J83" s="15">
        <v>3.4099999999999998E-2</v>
      </c>
      <c r="K83" s="15">
        <v>5.9200000000000003E-2</v>
      </c>
    </row>
    <row r="84" spans="1:11" x14ac:dyDescent="0.3">
      <c r="A84" s="13">
        <v>44712</v>
      </c>
      <c r="B84" s="15">
        <v>2.9999999999999997E-4</v>
      </c>
      <c r="C84" s="15">
        <v>-3.3999999999999998E-3</v>
      </c>
      <c r="D84" s="15">
        <v>-1.84E-2</v>
      </c>
      <c r="E84" s="15">
        <v>8.4400000000000003E-2</v>
      </c>
      <c r="F84" s="15">
        <v>2.52E-2</v>
      </c>
      <c r="G84" s="15">
        <v>-3.3E-3</v>
      </c>
      <c r="H84" s="15">
        <v>-2.9999999999999997E-4</v>
      </c>
      <c r="I84" s="15">
        <v>8.4400000000000003E-2</v>
      </c>
      <c r="J84" s="15">
        <v>1.55E-2</v>
      </c>
      <c r="K84" s="15">
        <v>3.95E-2</v>
      </c>
    </row>
    <row r="85" spans="1:11" x14ac:dyDescent="0.3">
      <c r="A85" s="13">
        <v>44742</v>
      </c>
      <c r="B85" s="15">
        <v>5.9999999999999995E-4</v>
      </c>
      <c r="C85" s="15">
        <v>-8.4000000000000005E-2</v>
      </c>
      <c r="D85" s="15">
        <v>2.07E-2</v>
      </c>
      <c r="E85" s="15">
        <v>-0.06</v>
      </c>
      <c r="F85" s="15">
        <v>1.06E-2</v>
      </c>
      <c r="G85" s="15">
        <v>-8.4000000000000005E-2</v>
      </c>
      <c r="H85" s="15">
        <v>1.3299999999999999E-2</v>
      </c>
      <c r="I85" s="15">
        <v>-0.06</v>
      </c>
      <c r="J85" s="15">
        <v>1.7600000000000001E-2</v>
      </c>
      <c r="K85" s="15">
        <v>-4.58E-2</v>
      </c>
    </row>
    <row r="86" spans="1:11" x14ac:dyDescent="0.3">
      <c r="A86" s="13">
        <v>44773</v>
      </c>
      <c r="B86" s="15">
        <v>8.0000000000000004E-4</v>
      </c>
      <c r="C86" s="15">
        <v>9.5699999999999993E-2</v>
      </c>
      <c r="D86" s="15">
        <v>2.86E-2</v>
      </c>
      <c r="E86" s="15">
        <v>-4.1300000000000003E-2</v>
      </c>
      <c r="F86" s="15">
        <v>-4.41E-2</v>
      </c>
      <c r="G86" s="15">
        <v>9.5699999999999993E-2</v>
      </c>
      <c r="H86" s="15">
        <v>1.8100000000000002E-2</v>
      </c>
      <c r="I86" s="15">
        <v>-4.1300000000000003E-2</v>
      </c>
      <c r="J86" s="15">
        <v>8.0000000000000002E-3</v>
      </c>
      <c r="K86" s="15">
        <v>-6.8500000000000005E-2</v>
      </c>
    </row>
    <row r="87" spans="1:11" x14ac:dyDescent="0.3">
      <c r="A87" s="13">
        <v>44804</v>
      </c>
      <c r="B87" s="15">
        <v>1.9E-3</v>
      </c>
      <c r="C87" s="15">
        <v>-3.7699999999999997E-2</v>
      </c>
      <c r="D87" s="15">
        <v>1.41E-2</v>
      </c>
      <c r="E87" s="15">
        <v>1.8E-3</v>
      </c>
      <c r="F87" s="15">
        <v>1.89E-2</v>
      </c>
      <c r="G87" s="15">
        <v>-3.7699999999999997E-2</v>
      </c>
      <c r="H87" s="15">
        <v>1.49E-2</v>
      </c>
      <c r="I87" s="15">
        <v>1.8E-3</v>
      </c>
      <c r="J87" s="15">
        <v>-4.7399999999999998E-2</v>
      </c>
      <c r="K87" s="15">
        <v>1.34E-2</v>
      </c>
    </row>
    <row r="88" spans="1:11" x14ac:dyDescent="0.3">
      <c r="A88" s="13">
        <v>44834</v>
      </c>
      <c r="B88" s="15">
        <v>1.9E-3</v>
      </c>
      <c r="C88" s="15">
        <v>-9.3399999999999997E-2</v>
      </c>
      <c r="D88" s="15">
        <v>-7.6E-3</v>
      </c>
      <c r="E88" s="15">
        <v>2.9999999999999997E-4</v>
      </c>
      <c r="F88" s="15">
        <v>3.7100000000000001E-2</v>
      </c>
      <c r="G88" s="15">
        <v>-9.3399999999999997E-2</v>
      </c>
      <c r="H88" s="15">
        <v>-9.7999999999999997E-3</v>
      </c>
      <c r="I88" s="15">
        <v>2.9999999999999997E-4</v>
      </c>
      <c r="J88" s="15">
        <v>-1.34E-2</v>
      </c>
      <c r="K88" s="15">
        <v>-7.6E-3</v>
      </c>
    </row>
    <row r="89" spans="1:11" x14ac:dyDescent="0.3">
      <c r="A89" s="13">
        <v>44865</v>
      </c>
      <c r="B89" s="15">
        <v>2.3E-3</v>
      </c>
      <c r="C89" s="15">
        <v>7.85E-2</v>
      </c>
      <c r="D89" s="15">
        <v>1E-4</v>
      </c>
      <c r="E89" s="15">
        <v>7.9699999999999993E-2</v>
      </c>
      <c r="F89" s="15">
        <v>3.9399999999999998E-2</v>
      </c>
      <c r="G89" s="15">
        <v>7.8600000000000003E-2</v>
      </c>
      <c r="H89" s="15">
        <v>1.8200000000000001E-2</v>
      </c>
      <c r="I89" s="15">
        <v>7.9699999999999993E-2</v>
      </c>
      <c r="J89" s="15">
        <v>3.2800000000000003E-2</v>
      </c>
      <c r="K89" s="15">
        <v>6.4199999999999993E-2</v>
      </c>
    </row>
    <row r="90" spans="1:11" x14ac:dyDescent="0.3">
      <c r="A90" s="13">
        <v>44895</v>
      </c>
      <c r="B90" s="15">
        <v>2.8999999999999998E-3</v>
      </c>
      <c r="C90" s="15">
        <v>4.65E-2</v>
      </c>
      <c r="D90" s="15">
        <v>-3.5700000000000003E-2</v>
      </c>
      <c r="E90" s="15">
        <v>1.4800000000000001E-2</v>
      </c>
      <c r="F90" s="15">
        <v>-1.7100000000000001E-2</v>
      </c>
      <c r="G90" s="15">
        <v>4.6899999999999997E-2</v>
      </c>
      <c r="H90" s="15">
        <v>-2.75E-2</v>
      </c>
      <c r="I90" s="15">
        <v>1.4800000000000001E-2</v>
      </c>
      <c r="J90" s="15">
        <v>6.2899999999999998E-2</v>
      </c>
      <c r="K90" s="15">
        <v>3.1600000000000003E-2</v>
      </c>
    </row>
    <row r="91" spans="1:11" x14ac:dyDescent="0.3">
      <c r="A91" s="13">
        <v>44926</v>
      </c>
      <c r="B91" s="15">
        <v>3.3E-3</v>
      </c>
      <c r="C91" s="15">
        <v>-6.3799999999999996E-2</v>
      </c>
      <c r="D91" s="15">
        <v>-7.6E-3</v>
      </c>
      <c r="E91" s="15">
        <v>1.34E-2</v>
      </c>
      <c r="F91" s="15">
        <v>4.9399999999999999E-2</v>
      </c>
      <c r="G91" s="15">
        <v>-6.3799999999999996E-2</v>
      </c>
      <c r="H91" s="15">
        <v>-2E-3</v>
      </c>
      <c r="I91" s="15">
        <v>1.34E-2</v>
      </c>
      <c r="J91" s="15">
        <v>3.5000000000000001E-3</v>
      </c>
      <c r="K91" s="15">
        <v>4.2900000000000001E-2</v>
      </c>
    </row>
    <row r="92" spans="1:11" x14ac:dyDescent="0.3">
      <c r="A92" s="13">
        <v>44957</v>
      </c>
      <c r="B92" s="15">
        <v>3.5000000000000001E-3</v>
      </c>
      <c r="C92" s="15">
        <v>6.6100000000000006E-2</v>
      </c>
      <c r="D92" s="15">
        <v>5.0099999999999999E-2</v>
      </c>
      <c r="E92" s="15">
        <v>-3.9399999999999998E-2</v>
      </c>
      <c r="F92" s="15">
        <v>-0.16209999999999999</v>
      </c>
      <c r="G92" s="15">
        <v>6.6000000000000003E-2</v>
      </c>
      <c r="H92" s="15">
        <v>4.3999999999999997E-2</v>
      </c>
      <c r="I92" s="15">
        <v>-3.9399999999999998E-2</v>
      </c>
      <c r="J92" s="15">
        <v>-2.4400000000000002E-2</v>
      </c>
      <c r="K92" s="15">
        <v>-4.41E-2</v>
      </c>
    </row>
    <row r="93" spans="1:11" x14ac:dyDescent="0.3">
      <c r="A93" s="13">
        <v>44985</v>
      </c>
      <c r="B93" s="15">
        <v>3.3999999999999998E-3</v>
      </c>
      <c r="C93" s="15">
        <v>-2.5700000000000001E-2</v>
      </c>
      <c r="D93" s="15">
        <v>1.0500000000000001E-2</v>
      </c>
      <c r="E93" s="15">
        <v>-8.0000000000000002E-3</v>
      </c>
      <c r="F93" s="15">
        <v>5.1999999999999998E-3</v>
      </c>
      <c r="G93" s="15">
        <v>-2.5700000000000001E-2</v>
      </c>
      <c r="H93" s="15">
        <v>5.7999999999999996E-3</v>
      </c>
      <c r="I93" s="15">
        <v>-8.0000000000000002E-3</v>
      </c>
      <c r="J93" s="15">
        <v>9.9000000000000008E-3</v>
      </c>
      <c r="K93" s="15">
        <v>-1.4999999999999999E-2</v>
      </c>
    </row>
    <row r="94" spans="1:11" x14ac:dyDescent="0.3">
      <c r="A94" s="13">
        <v>45016</v>
      </c>
      <c r="B94" s="15">
        <v>3.5999999999999999E-3</v>
      </c>
      <c r="C94" s="15">
        <v>2.4799999999999999E-2</v>
      </c>
      <c r="D94" s="15">
        <v>-5.4800000000000001E-2</v>
      </c>
      <c r="E94" s="15">
        <v>-9.0499999999999997E-2</v>
      </c>
      <c r="F94" s="15">
        <v>-2.3800000000000002E-2</v>
      </c>
      <c r="G94" s="15">
        <v>2.4899999999999999E-2</v>
      </c>
      <c r="H94" s="15">
        <v>-6.8900000000000003E-2</v>
      </c>
      <c r="I94" s="15">
        <v>-9.0499999999999997E-2</v>
      </c>
      <c r="J94" s="15">
        <v>2.2700000000000001E-2</v>
      </c>
      <c r="K94" s="15">
        <v>-2.1000000000000001E-2</v>
      </c>
    </row>
    <row r="95" spans="1:11" x14ac:dyDescent="0.3">
      <c r="A95" s="13">
        <v>45046</v>
      </c>
      <c r="B95" s="15">
        <v>3.5000000000000001E-3</v>
      </c>
      <c r="C95" s="15">
        <v>6.1999999999999998E-3</v>
      </c>
      <c r="D95" s="15">
        <v>-3.3700000000000001E-2</v>
      </c>
      <c r="E95" s="15">
        <v>-1.1999999999999999E-3</v>
      </c>
      <c r="F95" s="15">
        <v>1.7500000000000002E-2</v>
      </c>
      <c r="G95" s="15">
        <v>6.3E-3</v>
      </c>
      <c r="H95" s="15">
        <v>-2.5700000000000001E-2</v>
      </c>
      <c r="I95" s="15">
        <v>-1.1999999999999999E-3</v>
      </c>
      <c r="J95" s="15">
        <v>2.41E-2</v>
      </c>
      <c r="K95" s="15">
        <v>2.8500000000000001E-2</v>
      </c>
    </row>
    <row r="96" spans="1:11" x14ac:dyDescent="0.3">
      <c r="A96" s="13">
        <v>45077</v>
      </c>
      <c r="B96" s="15">
        <v>3.5999999999999999E-3</v>
      </c>
      <c r="C96" s="15">
        <v>3.3999999999999998E-3</v>
      </c>
      <c r="D96" s="15">
        <v>1.6E-2</v>
      </c>
      <c r="E96" s="15">
        <v>-7.7899999999999997E-2</v>
      </c>
      <c r="F96" s="15">
        <v>-8.8000000000000005E-3</v>
      </c>
      <c r="G96" s="15">
        <v>3.3E-3</v>
      </c>
      <c r="H96" s="15">
        <v>-4.3E-3</v>
      </c>
      <c r="I96" s="15">
        <v>-7.7899999999999997E-2</v>
      </c>
      <c r="J96" s="15">
        <v>-1.78E-2</v>
      </c>
      <c r="K96" s="15">
        <v>-7.0599999999999996E-2</v>
      </c>
    </row>
    <row r="97" spans="1:11" x14ac:dyDescent="0.3">
      <c r="A97" s="13">
        <v>45107</v>
      </c>
      <c r="B97" s="15">
        <v>4.0000000000000001E-3</v>
      </c>
      <c r="C97" s="15">
        <v>6.4600000000000005E-2</v>
      </c>
      <c r="D97" s="15">
        <v>1.49E-2</v>
      </c>
      <c r="E97" s="15">
        <v>-1.2999999999999999E-3</v>
      </c>
      <c r="F97" s="15">
        <v>-2.7099999999999999E-2</v>
      </c>
      <c r="G97" s="15">
        <v>6.4600000000000005E-2</v>
      </c>
      <c r="H97" s="15">
        <v>1.2699999999999999E-2</v>
      </c>
      <c r="I97" s="15">
        <v>-1.2999999999999999E-3</v>
      </c>
      <c r="J97" s="15">
        <v>2.3099999999999999E-2</v>
      </c>
      <c r="K97" s="15">
        <v>-1.55E-2</v>
      </c>
    </row>
    <row r="98" spans="1:11" x14ac:dyDescent="0.3">
      <c r="A98" s="13">
        <v>45138</v>
      </c>
      <c r="B98" s="15">
        <v>4.4999999999999997E-3</v>
      </c>
      <c r="C98" s="15">
        <v>3.2099999999999997E-2</v>
      </c>
      <c r="D98" s="15">
        <v>2.0500000000000001E-2</v>
      </c>
      <c r="E98" s="15">
        <v>4.0599999999999997E-2</v>
      </c>
      <c r="F98" s="15">
        <v>-3.9899999999999998E-2</v>
      </c>
      <c r="G98" s="15">
        <v>3.2099999999999997E-2</v>
      </c>
      <c r="H98" s="15">
        <v>2.8799999999999999E-2</v>
      </c>
      <c r="I98" s="15">
        <v>4.0599999999999997E-2</v>
      </c>
      <c r="J98" s="15">
        <v>-6.1000000000000004E-3</v>
      </c>
      <c r="K98" s="15">
        <v>5.0000000000000001E-3</v>
      </c>
    </row>
    <row r="99" spans="1:11" x14ac:dyDescent="0.3">
      <c r="A99" s="13">
        <v>45169</v>
      </c>
      <c r="B99" s="15">
        <v>4.4999999999999997E-3</v>
      </c>
      <c r="C99" s="15">
        <v>-2.3599999999999999E-2</v>
      </c>
      <c r="D99" s="15">
        <v>-3.1300000000000001E-2</v>
      </c>
      <c r="E99" s="15">
        <v>-1.15E-2</v>
      </c>
      <c r="F99" s="15">
        <v>3.9E-2</v>
      </c>
      <c r="G99" s="15">
        <v>-2.3599999999999999E-2</v>
      </c>
      <c r="H99" s="15">
        <v>-3.6600000000000001E-2</v>
      </c>
      <c r="I99" s="15">
        <v>-1.15E-2</v>
      </c>
      <c r="J99" s="15">
        <v>3.3300000000000003E-2</v>
      </c>
      <c r="K99" s="15">
        <v>-2.2200000000000001E-2</v>
      </c>
    </row>
    <row r="100" spans="1:11" x14ac:dyDescent="0.3">
      <c r="A100" s="13">
        <v>45199</v>
      </c>
      <c r="B100" s="15">
        <v>4.3E-3</v>
      </c>
      <c r="C100" s="15">
        <v>-5.2299999999999999E-2</v>
      </c>
      <c r="D100" s="15">
        <v>-2.5000000000000001E-2</v>
      </c>
      <c r="E100" s="15">
        <v>1.4999999999999999E-2</v>
      </c>
      <c r="F100" s="15">
        <v>2.5000000000000001E-3</v>
      </c>
      <c r="G100" s="15">
        <v>-5.2299999999999999E-2</v>
      </c>
      <c r="H100" s="15">
        <v>-1.7600000000000001E-2</v>
      </c>
      <c r="I100" s="15">
        <v>1.4999999999999999E-2</v>
      </c>
      <c r="J100" s="15">
        <v>1.8599999999999998E-2</v>
      </c>
      <c r="K100" s="15">
        <v>-8.6E-3</v>
      </c>
    </row>
    <row r="101" spans="1:11" x14ac:dyDescent="0.3">
      <c r="A101" s="13">
        <v>45230</v>
      </c>
      <c r="B101" s="15">
        <v>4.7000000000000002E-3</v>
      </c>
      <c r="C101" s="15">
        <v>-3.15E-2</v>
      </c>
      <c r="D101" s="15">
        <v>-3.8699999999999998E-2</v>
      </c>
      <c r="E101" s="15">
        <v>2.2000000000000001E-3</v>
      </c>
      <c r="F101" s="15">
        <v>1.6899999999999998E-2</v>
      </c>
      <c r="G101" s="15">
        <v>-3.15E-2</v>
      </c>
      <c r="H101" s="15">
        <v>-4.0300000000000002E-2</v>
      </c>
      <c r="I101" s="15">
        <v>2.2000000000000001E-3</v>
      </c>
      <c r="J101" s="15">
        <v>2.4199999999999999E-2</v>
      </c>
      <c r="K101" s="15">
        <v>-7.1999999999999998E-3</v>
      </c>
    </row>
    <row r="102" spans="1:11" x14ac:dyDescent="0.3">
      <c r="A102" s="13">
        <v>45260</v>
      </c>
      <c r="B102" s="15">
        <v>4.4000000000000003E-3</v>
      </c>
      <c r="C102" s="15">
        <v>8.8800000000000004E-2</v>
      </c>
      <c r="D102" s="15">
        <v>-1.1000000000000001E-3</v>
      </c>
      <c r="E102" s="15">
        <v>1.66E-2</v>
      </c>
      <c r="F102" s="15">
        <v>2.5899999999999999E-2</v>
      </c>
      <c r="G102" s="15">
        <v>8.8800000000000004E-2</v>
      </c>
      <c r="H102" s="15">
        <v>-1.8E-3</v>
      </c>
      <c r="I102" s="15">
        <v>1.66E-2</v>
      </c>
      <c r="J102" s="15">
        <v>-3.7199999999999997E-2</v>
      </c>
      <c r="K102" s="15">
        <v>-1.2200000000000001E-2</v>
      </c>
    </row>
    <row r="103" spans="1:11" x14ac:dyDescent="0.3">
      <c r="A103" s="13">
        <v>45291</v>
      </c>
      <c r="B103" s="15">
        <v>4.3E-3</v>
      </c>
      <c r="C103" s="15">
        <v>4.8500000000000001E-2</v>
      </c>
      <c r="D103" s="15">
        <v>6.2799999999999995E-2</v>
      </c>
      <c r="E103" s="15">
        <v>4.87E-2</v>
      </c>
      <c r="F103" s="15">
        <v>-5.5E-2</v>
      </c>
      <c r="G103" s="15">
        <v>4.8500000000000001E-2</v>
      </c>
      <c r="H103" s="15">
        <v>7.2499999999999995E-2</v>
      </c>
      <c r="I103" s="15">
        <v>4.87E-2</v>
      </c>
      <c r="J103" s="15">
        <v>-2.9600000000000001E-2</v>
      </c>
      <c r="K103" s="15">
        <v>1.1900000000000001E-2</v>
      </c>
    </row>
    <row r="104" spans="1:11" x14ac:dyDescent="0.3">
      <c r="A104" s="13">
        <v>45322</v>
      </c>
      <c r="B104" s="15">
        <v>4.7000000000000002E-3</v>
      </c>
      <c r="C104" s="15">
        <v>7.3000000000000001E-3</v>
      </c>
      <c r="D104" s="15">
        <v>-5.04E-2</v>
      </c>
      <c r="E104" s="15">
        <v>-2.3699999999999999E-2</v>
      </c>
      <c r="F104" s="15">
        <v>5.4600000000000003E-2</v>
      </c>
      <c r="G104" s="15">
        <v>7.3000000000000001E-3</v>
      </c>
      <c r="H104" s="15">
        <v>-5.6899999999999999E-2</v>
      </c>
      <c r="I104" s="15">
        <v>-2.3699999999999999E-2</v>
      </c>
      <c r="J104" s="15">
        <v>6.6E-3</v>
      </c>
      <c r="K104" s="15">
        <v>-1.01E-2</v>
      </c>
    </row>
    <row r="105" spans="1:11" x14ac:dyDescent="0.3">
      <c r="A105" s="13">
        <v>45351</v>
      </c>
      <c r="B105" s="15">
        <v>4.1999999999999997E-3</v>
      </c>
      <c r="C105" s="15">
        <v>5.0700000000000002E-2</v>
      </c>
      <c r="D105" s="15">
        <v>-2.5999999999999999E-3</v>
      </c>
      <c r="E105" s="15">
        <v>-3.4299999999999997E-2</v>
      </c>
      <c r="F105" s="15">
        <v>5.0099999999999999E-2</v>
      </c>
      <c r="G105" s="15">
        <v>5.0700000000000002E-2</v>
      </c>
      <c r="H105" s="15">
        <v>-8.3000000000000001E-3</v>
      </c>
      <c r="I105" s="15">
        <v>-3.4299999999999997E-2</v>
      </c>
      <c r="J105" s="15">
        <v>-2.0199999999999999E-2</v>
      </c>
      <c r="K105" s="15">
        <v>-2.2800000000000001E-2</v>
      </c>
    </row>
    <row r="106" spans="1:11" x14ac:dyDescent="0.3">
      <c r="A106" s="13">
        <v>45382</v>
      </c>
      <c r="B106" s="15">
        <v>4.3E-3</v>
      </c>
      <c r="C106" s="15">
        <v>2.8400000000000002E-2</v>
      </c>
      <c r="D106" s="15">
        <v>-2.5000000000000001E-2</v>
      </c>
      <c r="E106" s="15">
        <v>4.1599999999999998E-2</v>
      </c>
      <c r="F106" s="15">
        <v>-3.2000000000000002E-3</v>
      </c>
      <c r="G106" s="15">
        <v>2.8400000000000002E-2</v>
      </c>
      <c r="H106" s="15">
        <v>-1.2E-2</v>
      </c>
      <c r="I106" s="15">
        <v>4.1599999999999998E-2</v>
      </c>
      <c r="J106" s="15">
        <v>1.3299999999999999E-2</v>
      </c>
      <c r="K106" s="15">
        <v>1.04E-2</v>
      </c>
    </row>
    <row r="107" spans="1:11" x14ac:dyDescent="0.3">
      <c r="A107" s="13">
        <v>45412</v>
      </c>
      <c r="B107" s="15">
        <v>4.7000000000000002E-3</v>
      </c>
      <c r="C107" s="15">
        <v>-4.65E-2</v>
      </c>
      <c r="D107" s="15">
        <v>-2.3800000000000002E-2</v>
      </c>
      <c r="E107" s="15">
        <v>-4.4999999999999997E-3</v>
      </c>
      <c r="F107" s="15">
        <v>-4.3E-3</v>
      </c>
      <c r="G107" s="15">
        <v>-4.65E-2</v>
      </c>
      <c r="H107" s="15">
        <v>-2.58E-2</v>
      </c>
      <c r="I107" s="15">
        <v>-4.4999999999999997E-3</v>
      </c>
      <c r="J107" s="15">
        <v>1.1599999999999999E-2</v>
      </c>
      <c r="K107" s="15">
        <v>-3.8E-3</v>
      </c>
    </row>
    <row r="108" spans="1:11" x14ac:dyDescent="0.3">
      <c r="A108" s="13">
        <v>45443</v>
      </c>
      <c r="B108" s="15">
        <v>4.4000000000000003E-3</v>
      </c>
      <c r="C108" s="15">
        <v>4.3299999999999998E-2</v>
      </c>
      <c r="D108" s="15">
        <v>5.3E-3</v>
      </c>
      <c r="E108" s="15">
        <v>-1.3299999999999999E-2</v>
      </c>
      <c r="F108" s="15">
        <v>1.4500000000000001E-2</v>
      </c>
      <c r="G108" s="15">
        <v>4.3200000000000002E-2</v>
      </c>
      <c r="H108" s="15">
        <v>5.7999999999999996E-3</v>
      </c>
      <c r="I108" s="15">
        <v>-1.3299999999999999E-2</v>
      </c>
      <c r="J108" s="15">
        <v>3.2000000000000001E-2</v>
      </c>
      <c r="K108" s="15">
        <v>-2.98E-2</v>
      </c>
    </row>
    <row r="109" spans="1:11" x14ac:dyDescent="0.3">
      <c r="A109" s="13">
        <v>45473</v>
      </c>
      <c r="B109" s="15">
        <v>4.1000000000000003E-3</v>
      </c>
      <c r="C109" s="15">
        <v>2.8000000000000001E-2</v>
      </c>
      <c r="D109" s="15">
        <v>-0.03</v>
      </c>
      <c r="E109" s="15">
        <v>-3.3599999999999998E-2</v>
      </c>
      <c r="F109" s="15">
        <v>8.6E-3</v>
      </c>
      <c r="G109" s="15">
        <v>2.8000000000000001E-2</v>
      </c>
      <c r="H109" s="15">
        <v>-4.3299999999999998E-2</v>
      </c>
      <c r="I109" s="15">
        <v>-3.3599999999999998E-2</v>
      </c>
      <c r="J109" s="15">
        <v>5.4999999999999997E-3</v>
      </c>
      <c r="K109" s="15">
        <v>-1.6899999999999998E-2</v>
      </c>
    </row>
    <row r="110" spans="1:11" x14ac:dyDescent="0.3">
      <c r="A110" s="13">
        <v>45504</v>
      </c>
      <c r="B110" s="15">
        <v>4.4999999999999997E-3</v>
      </c>
      <c r="C110" s="15">
        <v>1.2200000000000001E-2</v>
      </c>
      <c r="D110" s="15">
        <v>6.8099999999999994E-2</v>
      </c>
      <c r="E110" s="15">
        <v>5.57E-2</v>
      </c>
      <c r="F110" s="15">
        <v>-2.3599999999999999E-2</v>
      </c>
      <c r="G110" s="15">
        <v>1.2200000000000001E-2</v>
      </c>
      <c r="H110" s="15">
        <v>8.3299999999999999E-2</v>
      </c>
      <c r="I110" s="15">
        <v>5.57E-2</v>
      </c>
      <c r="J110" s="15">
        <v>2.5999999999999999E-3</v>
      </c>
      <c r="K110" s="15">
        <v>2.7000000000000001E-3</v>
      </c>
    </row>
    <row r="111" spans="1:11" x14ac:dyDescent="0.3">
      <c r="A111" s="13">
        <v>45535</v>
      </c>
      <c r="B111" s="15">
        <v>4.7999999999999996E-3</v>
      </c>
      <c r="C111" s="15">
        <v>1.6E-2</v>
      </c>
      <c r="D111" s="15">
        <v>-3.49E-2</v>
      </c>
      <c r="E111" s="15">
        <v>-1.1299999999999999E-2</v>
      </c>
      <c r="F111" s="15">
        <v>4.8599999999999997E-2</v>
      </c>
      <c r="G111" s="15">
        <v>1.61E-2</v>
      </c>
      <c r="H111" s="15">
        <v>-3.5700000000000003E-2</v>
      </c>
      <c r="I111" s="15">
        <v>-1.1299999999999999E-2</v>
      </c>
      <c r="J111" s="15">
        <v>7.4999999999999997E-3</v>
      </c>
      <c r="K111" s="15">
        <v>7.9000000000000008E-3</v>
      </c>
    </row>
    <row r="112" spans="1:11" x14ac:dyDescent="0.3">
      <c r="A112" s="13">
        <v>45565</v>
      </c>
      <c r="B112" s="15">
        <v>4.0000000000000001E-3</v>
      </c>
      <c r="C112" s="15">
        <v>1.72E-2</v>
      </c>
      <c r="D112" s="15">
        <v>-1.2999999999999999E-3</v>
      </c>
      <c r="E112" s="15">
        <v>-2.7300000000000001E-2</v>
      </c>
      <c r="F112" s="15">
        <v>-6.0000000000000001E-3</v>
      </c>
      <c r="G112" s="15">
        <v>1.7299999999999999E-2</v>
      </c>
      <c r="H112" s="15">
        <v>-9.1000000000000004E-3</v>
      </c>
      <c r="I112" s="15">
        <v>-2.7300000000000001E-2</v>
      </c>
      <c r="J112" s="15">
        <v>1.9E-3</v>
      </c>
      <c r="K112" s="15">
        <v>-2.5000000000000001E-3</v>
      </c>
    </row>
    <row r="113" spans="1:11" x14ac:dyDescent="0.3">
      <c r="A113" s="13">
        <v>45596</v>
      </c>
      <c r="B113" s="15">
        <v>3.8999999999999998E-3</v>
      </c>
      <c r="C113" s="15">
        <v>-0.01</v>
      </c>
      <c r="D113" s="15">
        <v>-9.4999999999999998E-3</v>
      </c>
      <c r="E113" s="15">
        <v>9.1000000000000004E-3</v>
      </c>
      <c r="F113" s="15">
        <v>2.98E-2</v>
      </c>
      <c r="G113" s="15">
        <v>-0.01</v>
      </c>
      <c r="H113" s="15">
        <v>-8.6E-3</v>
      </c>
      <c r="I113" s="15">
        <v>9.1000000000000004E-3</v>
      </c>
      <c r="J113" s="15">
        <v>-1.49E-2</v>
      </c>
      <c r="K113" s="15">
        <v>1.0200000000000001E-2</v>
      </c>
    </row>
    <row r="114" spans="1:11" x14ac:dyDescent="0.3">
      <c r="A114" s="13">
        <v>45626</v>
      </c>
      <c r="B114" s="15">
        <v>4.0000000000000001E-3</v>
      </c>
      <c r="C114" s="15">
        <v>6.4899999999999999E-2</v>
      </c>
      <c r="D114" s="15">
        <v>4.4900000000000002E-2</v>
      </c>
      <c r="E114" s="15">
        <v>3.8E-3</v>
      </c>
      <c r="F114" s="15">
        <v>8.0999999999999996E-3</v>
      </c>
      <c r="G114" s="15">
        <v>6.4899999999999999E-2</v>
      </c>
      <c r="H114" s="15">
        <v>4.6300000000000001E-2</v>
      </c>
      <c r="I114" s="15">
        <v>3.8E-3</v>
      </c>
      <c r="J114" s="15">
        <v>-2.2700000000000001E-2</v>
      </c>
      <c r="K114" s="15">
        <v>-1.9300000000000001E-2</v>
      </c>
    </row>
    <row r="115" spans="1:11" x14ac:dyDescent="0.3">
      <c r="A115" s="13">
        <v>45657</v>
      </c>
      <c r="B115" s="15">
        <v>3.7000000000000002E-3</v>
      </c>
      <c r="C115" s="15">
        <v>-3.1699999999999999E-2</v>
      </c>
      <c r="D115" s="15">
        <v>-2.7E-2</v>
      </c>
      <c r="E115" s="15">
        <v>-2.9700000000000001E-2</v>
      </c>
      <c r="F115" s="15">
        <v>-3.0000000000000001E-3</v>
      </c>
      <c r="G115" s="15">
        <v>-3.1600000000000003E-2</v>
      </c>
      <c r="H115" s="15">
        <v>-3.8199999999999998E-2</v>
      </c>
      <c r="I115" s="15">
        <v>-2.9700000000000001E-2</v>
      </c>
      <c r="J115" s="15">
        <v>1.8800000000000001E-2</v>
      </c>
      <c r="K115" s="15">
        <v>-1.2E-2</v>
      </c>
    </row>
    <row r="116" spans="1:11" x14ac:dyDescent="0.3">
      <c r="A116" s="13">
        <v>45688</v>
      </c>
      <c r="B116" s="15">
        <v>3.7000000000000002E-3</v>
      </c>
      <c r="C116" s="15">
        <v>2.8000000000000001E-2</v>
      </c>
      <c r="D116" s="15">
        <v>-0.02</v>
      </c>
      <c r="E116" s="15">
        <v>1.7600000000000001E-2</v>
      </c>
      <c r="F116" s="15">
        <v>1.01E-2</v>
      </c>
      <c r="G116" s="15">
        <v>2.8000000000000001E-2</v>
      </c>
      <c r="H116" s="15">
        <v>-1.23E-2</v>
      </c>
      <c r="I116" s="15">
        <v>1.7600000000000001E-2</v>
      </c>
      <c r="J116" s="15">
        <v>-2.35E-2</v>
      </c>
      <c r="K116" s="15">
        <v>-3.2199999999999999E-2</v>
      </c>
    </row>
    <row r="117" spans="1:11" x14ac:dyDescent="0.3">
      <c r="A117" s="13">
        <v>45716</v>
      </c>
      <c r="B117" s="15">
        <v>3.3E-3</v>
      </c>
      <c r="C117" s="15">
        <v>-2.4400000000000002E-2</v>
      </c>
      <c r="D117" s="15">
        <v>-5.7700000000000001E-2</v>
      </c>
      <c r="E117" s="15">
        <v>4.8399999999999999E-2</v>
      </c>
      <c r="F117" s="15">
        <v>-8.6E-3</v>
      </c>
      <c r="G117" s="15">
        <v>-2.4299999999999999E-2</v>
      </c>
      <c r="H117" s="15">
        <v>-4.8800000000000003E-2</v>
      </c>
      <c r="I117" s="15">
        <v>4.8399999999999999E-2</v>
      </c>
      <c r="J117" s="15">
        <v>1.0699999999999999E-2</v>
      </c>
      <c r="K117" s="15">
        <v>3.09E-2</v>
      </c>
    </row>
    <row r="118" spans="1:11" x14ac:dyDescent="0.3">
      <c r="A118" s="13">
        <v>45747</v>
      </c>
      <c r="B118" s="15">
        <v>3.3999999999999998E-3</v>
      </c>
      <c r="C118" s="15">
        <v>-6.3899999999999998E-2</v>
      </c>
      <c r="D118" s="15">
        <v>-2.7199999999999998E-2</v>
      </c>
      <c r="E118" s="15">
        <v>2.87E-2</v>
      </c>
      <c r="F118" s="15">
        <v>-2.64E-2</v>
      </c>
      <c r="G118" s="15">
        <v>-6.3899999999999998E-2</v>
      </c>
      <c r="H118" s="15">
        <v>-1.47E-2</v>
      </c>
      <c r="I118" s="15">
        <v>2.87E-2</v>
      </c>
      <c r="J118" s="15">
        <v>2.0899999999999998E-2</v>
      </c>
      <c r="K118" s="15">
        <v>-4.5999999999999999E-3</v>
      </c>
    </row>
    <row r="119" spans="1:11" x14ac:dyDescent="0.3">
      <c r="A119" s="13">
        <v>45777</v>
      </c>
      <c r="B119" s="15">
        <v>3.5000000000000001E-3</v>
      </c>
      <c r="C119" s="15">
        <v>-8.3999999999999995E-3</v>
      </c>
      <c r="D119" s="15">
        <v>-5.7000000000000002E-3</v>
      </c>
      <c r="E119" s="15">
        <v>-3.2899999999999999E-2</v>
      </c>
      <c r="F119" s="15">
        <v>5.0099999999999999E-2</v>
      </c>
      <c r="G119" s="15">
        <v>-8.3999999999999995E-3</v>
      </c>
      <c r="H119" s="15">
        <v>-1.83E-2</v>
      </c>
      <c r="I119" s="15">
        <v>-3.2899999999999999E-2</v>
      </c>
      <c r="J119" s="15">
        <v>-2.8299999999999999E-2</v>
      </c>
      <c r="K119" s="15">
        <v>-2.5899999999999999E-2</v>
      </c>
    </row>
    <row r="120" spans="1:11" x14ac:dyDescent="0.3">
      <c r="A120" s="13">
        <v>45808</v>
      </c>
      <c r="B120" s="15">
        <v>3.8E-3</v>
      </c>
      <c r="C120" s="15">
        <v>6.0600000000000001E-2</v>
      </c>
      <c r="D120" s="15">
        <v>6.1000000000000004E-3</v>
      </c>
      <c r="E120" s="15">
        <v>-2.81E-2</v>
      </c>
      <c r="F120" s="15">
        <v>2.2499999999999999E-2</v>
      </c>
      <c r="G120" s="15">
        <v>6.0600000000000001E-2</v>
      </c>
      <c r="H120" s="15">
        <v>-7.7000000000000002E-3</v>
      </c>
      <c r="I120" s="15">
        <v>-2.81E-2</v>
      </c>
      <c r="J120" s="15">
        <v>1.29E-2</v>
      </c>
      <c r="K120" s="15">
        <v>2.4799999999999999E-2</v>
      </c>
    </row>
    <row r="121" spans="1:11" x14ac:dyDescent="0.3">
      <c r="A121" s="13">
        <v>45838</v>
      </c>
      <c r="B121" s="15">
        <v>3.3999999999999998E-3</v>
      </c>
      <c r="C121" s="15">
        <v>4.8599999999999997E-2</v>
      </c>
      <c r="D121" s="15">
        <v>7.1000000000000004E-3</v>
      </c>
      <c r="E121" s="15">
        <v>-1.43E-2</v>
      </c>
      <c r="F121" s="15">
        <v>-2.6499999999999999E-2</v>
      </c>
      <c r="G121" s="15">
        <v>4.8599999999999997E-2</v>
      </c>
      <c r="H121" s="15">
        <v>-8.0000000000000004E-4</v>
      </c>
      <c r="I121" s="15">
        <v>-1.43E-2</v>
      </c>
      <c r="J121" s="15">
        <v>-3.1899999999999998E-2</v>
      </c>
      <c r="K121" s="15">
        <v>1.38E-2</v>
      </c>
    </row>
    <row r="122" spans="1:11" x14ac:dyDescent="0.3">
      <c r="A122" s="13">
        <v>45869</v>
      </c>
      <c r="B122" s="15">
        <v>3.3999999999999998E-3</v>
      </c>
      <c r="C122" s="15">
        <v>1.9800000000000002E-2</v>
      </c>
      <c r="D122" s="15">
        <v>3.0000000000000001E-3</v>
      </c>
      <c r="E122" s="15">
        <v>-1.34E-2</v>
      </c>
      <c r="F122" s="15">
        <v>-9.4000000000000004E-3</v>
      </c>
      <c r="G122" s="15">
        <v>1.9800000000000002E-2</v>
      </c>
      <c r="H122" s="15">
        <v>-1.1999999999999999E-3</v>
      </c>
      <c r="I122" s="15">
        <v>-1.34E-2</v>
      </c>
      <c r="J122" s="15">
        <v>-2.5000000000000001E-3</v>
      </c>
      <c r="K122" s="15">
        <v>-0.02</v>
      </c>
    </row>
    <row r="123" spans="1:11" x14ac:dyDescent="0.3">
      <c r="A123" s="13">
        <v>45900</v>
      </c>
      <c r="B123" s="15">
        <v>3.8E-3</v>
      </c>
      <c r="C123" s="15">
        <v>1.84E-2</v>
      </c>
      <c r="D123" s="15">
        <v>3.7999999999999999E-2</v>
      </c>
      <c r="E123" s="15">
        <v>4.3700000000000003E-2</v>
      </c>
      <c r="F123" s="15">
        <v>-3.61E-2</v>
      </c>
      <c r="G123" s="15">
        <v>1.84E-2</v>
      </c>
      <c r="H123" s="15">
        <v>4.82E-2</v>
      </c>
      <c r="I123" s="15">
        <v>4.3700000000000003E-2</v>
      </c>
      <c r="J123" s="15">
        <v>-6.8999999999999999E-3</v>
      </c>
      <c r="K123" s="15">
        <v>1.9699999999999999E-2</v>
      </c>
    </row>
    <row r="124" spans="1:11" x14ac:dyDescent="0.3">
      <c r="A124" s="13">
        <v>45930</v>
      </c>
      <c r="B124" s="15">
        <v>3.3E-3</v>
      </c>
      <c r="C124" s="15">
        <v>3.39E-2</v>
      </c>
      <c r="D124" s="15">
        <v>-1.83E-2</v>
      </c>
      <c r="E124" s="15">
        <v>-1.0500000000000001E-2</v>
      </c>
      <c r="F124" s="15">
        <v>4.6199999999999998E-2</v>
      </c>
      <c r="G124" s="15">
        <v>3.39E-2</v>
      </c>
      <c r="H124" s="15">
        <v>-2.1700000000000001E-2</v>
      </c>
      <c r="I124" s="15">
        <v>-1.0500000000000001E-2</v>
      </c>
      <c r="J124" s="15">
        <v>-2.01E-2</v>
      </c>
      <c r="K124" s="15">
        <v>-2.2700000000000001E-2</v>
      </c>
    </row>
    <row r="125" spans="1:11" x14ac:dyDescent="0.3">
      <c r="A125" s="13">
        <v>45961</v>
      </c>
      <c r="B125" s="15">
        <v>3.7000000000000002E-3</v>
      </c>
      <c r="C125" s="15">
        <v>1.9599999999999999E-2</v>
      </c>
      <c r="D125" s="15">
        <v>-5.7000000000000002E-3</v>
      </c>
      <c r="E125" s="15">
        <v>-3.1800000000000002E-2</v>
      </c>
      <c r="F125" s="15">
        <v>1.6000000000000001E-3</v>
      </c>
      <c r="G125" s="15">
        <v>1.9599999999999999E-2</v>
      </c>
      <c r="H125" s="15">
        <v>-1.35E-2</v>
      </c>
      <c r="I125" s="15">
        <v>-3.1800000000000002E-2</v>
      </c>
      <c r="J125" s="15">
        <v>-5.2499999999999998E-2</v>
      </c>
      <c r="K125" s="15">
        <v>-4.07E-2</v>
      </c>
    </row>
    <row r="126" spans="1:11" x14ac:dyDescent="0.3">
      <c r="A126" s="13">
        <v>45991</v>
      </c>
      <c r="B126" s="15">
        <v>3.0000000000000001E-3</v>
      </c>
      <c r="C126" s="15">
        <v>-1.2999999999999999E-3</v>
      </c>
      <c r="D126" s="15">
        <v>4.0000000000000001E-3</v>
      </c>
      <c r="E126" s="15">
        <v>3.7600000000000001E-2</v>
      </c>
      <c r="F126" s="15">
        <v>-1.72E-2</v>
      </c>
      <c r="G126" s="15">
        <v>-1.2999999999999999E-3</v>
      </c>
      <c r="H126" s="15">
        <v>1.4800000000000001E-2</v>
      </c>
      <c r="I126" s="15">
        <v>3.7600000000000001E-2</v>
      </c>
      <c r="J126" s="15">
        <v>1.43E-2</v>
      </c>
      <c r="K126" s="15">
        <v>6.4000000000000003E-3</v>
      </c>
    </row>
    <row r="127" spans="1:11" x14ac:dyDescent="0.3">
      <c r="A127" s="13">
        <v>46022</v>
      </c>
      <c r="B127" s="15">
        <v>3.3999999999999998E-3</v>
      </c>
      <c r="C127" s="15">
        <v>-3.5999999999999999E-3</v>
      </c>
      <c r="D127" s="15">
        <v>-1.04E-2</v>
      </c>
      <c r="E127" s="15">
        <v>2.4E-2</v>
      </c>
      <c r="F127" s="15">
        <v>-2.4E-2</v>
      </c>
      <c r="G127" s="15">
        <v>-3.5999999999999999E-3</v>
      </c>
      <c r="H127" s="15">
        <v>-2E-3</v>
      </c>
      <c r="I127" s="15">
        <v>2.4E-2</v>
      </c>
      <c r="J127" s="15">
        <v>3.2000000000000002E-3</v>
      </c>
      <c r="K127" s="15">
        <v>4.0000000000000001E-3</v>
      </c>
    </row>
  </sheetData>
  <autoFilter ref="A7:K127" xr:uid="{00000000-0009-0000-0000-000005000000}"/>
  <mergeCells count="2">
    <mergeCell ref="A1:K1"/>
    <mergeCell ref="A3:K3"/>
  </mergeCells>
  <hyperlinks>
    <hyperlink ref="A2" location="'00 Start'!A1" display="Back to guide" xr:uid="{00000000-0004-0000-0500-000000000000}"/>
  </hyperlinks>
  <printOptions horizontalCentered="1"/>
  <pageMargins left="0.25" right="0.25" top="0.35" bottom="0.35" header="0.5" footer="0.5"/>
  <pageSetup paperSize="9" fitToHeight="0" orientation="landscape"/>
  <headerFooter>
    <oddFooter>&amp;CBFIN | &amp;A |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3AAB5"/>
    <pageSetUpPr fitToPage="1"/>
  </sheetPr>
  <dimension ref="A1:L133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14" width="13" customWidth="1"/>
  </cols>
  <sheetData>
    <row r="1" spans="1:12" ht="25.95" customHeight="1" x14ac:dyDescent="0.3">
      <c r="A1" s="24" t="s">
        <v>154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2" ht="15.6" x14ac:dyDescent="0.3">
      <c r="A2" s="1" t="s">
        <v>55</v>
      </c>
    </row>
    <row r="3" spans="1:12" ht="42" customHeight="1" x14ac:dyDescent="0.3">
      <c r="A3" s="21" t="s">
        <v>155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7" spans="1:12" ht="34.049999999999997" customHeight="1" x14ac:dyDescent="0.3">
      <c r="A7" s="4" t="s">
        <v>130</v>
      </c>
      <c r="B7" s="4" t="s">
        <v>131</v>
      </c>
      <c r="C7" s="4" t="s">
        <v>132</v>
      </c>
      <c r="D7" s="4" t="s">
        <v>133</v>
      </c>
      <c r="E7" s="4" t="s">
        <v>134</v>
      </c>
      <c r="F7" s="4" t="s">
        <v>135</v>
      </c>
      <c r="G7" s="4" t="s">
        <v>136</v>
      </c>
      <c r="H7" s="4" t="s">
        <v>137</v>
      </c>
      <c r="I7" s="4" t="s">
        <v>138</v>
      </c>
      <c r="J7" s="4" t="s">
        <v>139</v>
      </c>
      <c r="K7" s="4" t="s">
        <v>140</v>
      </c>
      <c r="L7" s="4" t="s">
        <v>141</v>
      </c>
    </row>
    <row r="8" spans="1:12" x14ac:dyDescent="0.3">
      <c r="A8" s="16">
        <f>'04 Prices'!A9</f>
        <v>42400</v>
      </c>
      <c r="B8" s="7">
        <f>'04 Prices'!B9/'04 Prices'!B8-1</f>
        <v>-0.23344943017280584</v>
      </c>
      <c r="C8" s="7">
        <f>'04 Prices'!C9/'04 Prices'!C8-1</f>
        <v>-0.13151543200197124</v>
      </c>
      <c r="D8" s="7">
        <f>'04 Prices'!D9/'04 Prices'!D8-1</f>
        <v>-0.1240101268376802</v>
      </c>
      <c r="E8" s="7">
        <f>'04 Prices'!E9/'04 Prices'!E8-1</f>
        <v>-9.2849491143057739E-2</v>
      </c>
      <c r="F8" s="7">
        <f>'04 Prices'!F9/'04 Prices'!F8-1</f>
        <v>-0.11134731119026453</v>
      </c>
      <c r="G8" s="7">
        <f>'04 Prices'!G9/'04 Prices'!G8-1</f>
        <v>-5.5452083436455246E-2</v>
      </c>
      <c r="H8" s="7">
        <f>'04 Prices'!H9/'04 Prices'!H8-1</f>
        <v>-2.6168247924882593E-3</v>
      </c>
      <c r="I8" s="7">
        <f>'04 Prices'!I9/'04 Prices'!I8-1</f>
        <v>-1.2830581239036132E-3</v>
      </c>
      <c r="J8" s="7">
        <f>'04 Prices'!J9/'04 Prices'!J8-1</f>
        <v>8.2544751602635413E-2</v>
      </c>
      <c r="K8" s="7">
        <f>'04 Prices'!K9/'04 Prices'!K8-1</f>
        <v>9.4431400328293558E-2</v>
      </c>
      <c r="L8" s="7">
        <f>'04 Prices'!L9/'04 Prices'!L8-1</f>
        <v>-4.9623228981001466E-2</v>
      </c>
    </row>
    <row r="9" spans="1:12" x14ac:dyDescent="0.3">
      <c r="A9" s="16">
        <f>'04 Prices'!A10</f>
        <v>42429</v>
      </c>
      <c r="B9" s="7">
        <f>'04 Prices'!B10/'04 Prices'!B9-1</f>
        <v>-2.72727006725626E-2</v>
      </c>
      <c r="C9" s="7">
        <f>'04 Prices'!C10/'04 Prices'!C9-1</f>
        <v>-5.8739383590832195E-2</v>
      </c>
      <c r="D9" s="7">
        <f>'04 Prices'!D10/'04 Prices'!D9-1</f>
        <v>4.7738744223882579E-2</v>
      </c>
      <c r="E9" s="7">
        <f>'04 Prices'!E10/'04 Prices'!E9-1</f>
        <v>-5.3781721884345379E-2</v>
      </c>
      <c r="F9" s="7">
        <f>'04 Prices'!F10/'04 Prices'!F9-1</f>
        <v>7.4573440243299371E-2</v>
      </c>
      <c r="G9" s="7">
        <f>'04 Prices'!G10/'04 Prices'!G9-1</f>
        <v>-1.7111164141946023E-2</v>
      </c>
      <c r="H9" s="7">
        <f>'04 Prices'!H10/'04 Prices'!H9-1</f>
        <v>9.225274620852919E-2</v>
      </c>
      <c r="I9" s="7">
        <f>'04 Prices'!I10/'04 Prices'!I9-1</f>
        <v>3.8888357876699864E-2</v>
      </c>
      <c r="J9" s="7">
        <f>'04 Prices'!J10/'04 Prices'!J9-1</f>
        <v>-3.0120576036696267E-4</v>
      </c>
      <c r="K9" s="7">
        <f>'04 Prices'!K10/'04 Prices'!K9-1</f>
        <v>1.5209378692649711E-2</v>
      </c>
      <c r="L9" s="7">
        <f>'04 Prices'!L10/'04 Prices'!L9-1</f>
        <v>-1.3491069292327351E-3</v>
      </c>
    </row>
    <row r="10" spans="1:12" x14ac:dyDescent="0.3">
      <c r="A10" s="16">
        <f>'04 Prices'!A11</f>
        <v>42460</v>
      </c>
      <c r="B10" s="7">
        <f>'04 Prices'!B11/'04 Prices'!B10-1</f>
        <v>0.33177559108726196</v>
      </c>
      <c r="C10" s="7">
        <f>'04 Prices'!C11/'04 Prices'!C10-1</f>
        <v>7.4422637974384864E-2</v>
      </c>
      <c r="D10" s="7">
        <f>'04 Prices'!D11/'04 Prices'!D10-1</f>
        <v>7.9136715349465092E-2</v>
      </c>
      <c r="E10" s="7">
        <f>'04 Prices'!E11/'04 Prices'!E10-1</f>
        <v>5.186527920841999E-2</v>
      </c>
      <c r="F10" s="7">
        <f>'04 Prices'!F11/'04 Prices'!F10-1</f>
        <v>0.13616080634729855</v>
      </c>
      <c r="G10" s="7">
        <f>'04 Prices'!G11/'04 Prices'!G10-1</f>
        <v>-1.0111732846671551E-3</v>
      </c>
      <c r="H10" s="7">
        <f>'04 Prices'!H11/'04 Prices'!H10-1</f>
        <v>4.8820891692030521E-2</v>
      </c>
      <c r="I10" s="7">
        <f>'04 Prices'!I11/'04 Prices'!I10-1</f>
        <v>4.2919076996423833E-2</v>
      </c>
      <c r="J10" s="7">
        <f>'04 Prices'!J11/'04 Prices'!J10-1</f>
        <v>4.0051606793101158E-2</v>
      </c>
      <c r="K10" s="7">
        <f>'04 Prices'!K11/'04 Prices'!K10-1</f>
        <v>6.6035722410481945E-2</v>
      </c>
      <c r="L10" s="7">
        <f>'04 Prices'!L11/'04 Prices'!L10-1</f>
        <v>6.7837324129022214E-2</v>
      </c>
    </row>
    <row r="11" spans="1:12" x14ac:dyDescent="0.3">
      <c r="A11" s="16">
        <f>'04 Prices'!A12</f>
        <v>42490</v>
      </c>
      <c r="B11" s="7">
        <f>'04 Prices'!B12/'04 Prices'!B11-1</f>
        <v>0.24561406004007447</v>
      </c>
      <c r="C11" s="7">
        <f>'04 Prices'!C12/'04 Prices'!C11-1</f>
        <v>0.1110942894196254</v>
      </c>
      <c r="D11" s="7">
        <f>'04 Prices'!D12/'04 Prices'!D11-1</f>
        <v>1.5523054978758388E-2</v>
      </c>
      <c r="E11" s="7">
        <f>'04 Prices'!E12/'04 Prices'!E11-1</f>
        <v>7.5108019622234456E-2</v>
      </c>
      <c r="F11" s="7">
        <f>'04 Prices'!F12/'04 Prices'!F11-1</f>
        <v>-2.8066123093323236E-3</v>
      </c>
      <c r="G11" s="7">
        <f>'04 Prices'!G12/'04 Prices'!G11-1</f>
        <v>0.10357610985466725</v>
      </c>
      <c r="H11" s="7">
        <f>'04 Prices'!H12/'04 Prices'!H11-1</f>
        <v>-3.3787014923529979E-2</v>
      </c>
      <c r="I11" s="7">
        <f>'04 Prices'!I12/'04 Prices'!I11-1</f>
        <v>5.7542751485895272E-2</v>
      </c>
      <c r="J11" s="7">
        <f>'04 Prices'!J12/'04 Prices'!J11-1</f>
        <v>-2.3653053961148029E-2</v>
      </c>
      <c r="K11" s="7">
        <f>'04 Prices'!K12/'04 Prices'!K11-1</f>
        <v>-4.81192857584124E-2</v>
      </c>
      <c r="L11" s="7">
        <f>'04 Prices'!L12/'04 Prices'!L11-1</f>
        <v>3.8779624057745377E-3</v>
      </c>
    </row>
    <row r="12" spans="1:12" x14ac:dyDescent="0.3">
      <c r="A12" s="16">
        <f>'04 Prices'!A13</f>
        <v>42521</v>
      </c>
      <c r="B12" s="7">
        <f>'04 Prices'!B13/'04 Prices'!B12-1</f>
        <v>0.28732400930693225</v>
      </c>
      <c r="C12" s="7">
        <f>'04 Prices'!C13/'04 Prices'!C12-1</f>
        <v>9.5817094405436842E-2</v>
      </c>
      <c r="D12" s="7">
        <f>'04 Prices'!D13/'04 Prices'!D12-1</f>
        <v>-5.1625386586489075E-3</v>
      </c>
      <c r="E12" s="7">
        <f>'04 Prices'!E13/'04 Prices'!E12-1</f>
        <v>3.2753314201875217E-2</v>
      </c>
      <c r="F12" s="7">
        <f>'04 Prices'!F13/'04 Prices'!F12-1</f>
        <v>0.31835946608573384</v>
      </c>
      <c r="G12" s="7">
        <f>'04 Prices'!G13/'04 Prices'!G12-1</f>
        <v>7.0337483811417023E-2</v>
      </c>
      <c r="H12" s="7">
        <f>'04 Prices'!H13/'04 Prices'!H12-1</f>
        <v>-0.12823481650451574</v>
      </c>
      <c r="I12" s="7">
        <f>'04 Prices'!I13/'04 Prices'!I12-1</f>
        <v>1.5477223865552503E-2</v>
      </c>
      <c r="J12" s="7">
        <f>'04 Prices'!J13/'04 Prices'!J12-1</f>
        <v>6.6221738904834071E-2</v>
      </c>
      <c r="K12" s="7">
        <f>'04 Prices'!K13/'04 Prices'!K12-1</f>
        <v>-7.8487917065206414E-4</v>
      </c>
      <c r="L12" s="7">
        <f>'04 Prices'!L13/'04 Prices'!L12-1</f>
        <v>1.7957236631596318E-2</v>
      </c>
    </row>
    <row r="13" spans="1:12" x14ac:dyDescent="0.3">
      <c r="A13" s="16">
        <f>'04 Prices'!A14</f>
        <v>42551</v>
      </c>
      <c r="B13" s="7">
        <f>'04 Prices'!B14/'04 Prices'!B13-1</f>
        <v>0.12472640556224612</v>
      </c>
      <c r="C13" s="7">
        <f>'04 Prices'!C14/'04 Prices'!C13-1</f>
        <v>-9.9199335250935716E-3</v>
      </c>
      <c r="D13" s="7">
        <f>'04 Prices'!D14/'04 Prices'!D13-1</f>
        <v>-6.8198522910150272E-2</v>
      </c>
      <c r="E13" s="7">
        <f>'04 Prices'!E14/'04 Prices'!E13-1</f>
        <v>-4.7954839862946685E-2</v>
      </c>
      <c r="F13" s="7">
        <f>'04 Prices'!F14/'04 Prices'!F13-1</f>
        <v>6.2072782060700327E-3</v>
      </c>
      <c r="G13" s="7">
        <f>'04 Prices'!G14/'04 Prices'!G13-1</f>
        <v>1.4697802743124377E-2</v>
      </c>
      <c r="H13" s="7">
        <f>'04 Prices'!H14/'04 Prices'!H13-1</f>
        <v>1.5120358225195307E-2</v>
      </c>
      <c r="I13" s="7">
        <f>'04 Prices'!I14/'04 Prices'!I13-1</f>
        <v>5.3021794754992468E-2</v>
      </c>
      <c r="J13" s="7">
        <f>'04 Prices'!J14/'04 Prices'!J13-1</f>
        <v>3.1646984495472985E-2</v>
      </c>
      <c r="K13" s="7">
        <f>'04 Prices'!K14/'04 Prices'!K13-1</f>
        <v>9.7052961739305443E-2</v>
      </c>
      <c r="L13" s="7">
        <f>'04 Prices'!L14/'04 Prices'!L13-1</f>
        <v>2.5922535394786728E-3</v>
      </c>
    </row>
    <row r="14" spans="1:12" x14ac:dyDescent="0.3">
      <c r="A14" s="16">
        <f>'04 Prices'!A15</f>
        <v>42582</v>
      </c>
      <c r="B14" s="7">
        <f>'04 Prices'!B15/'04 Prices'!B14-1</f>
        <v>0.33463041083589595</v>
      </c>
      <c r="C14" s="7">
        <f>'04 Prices'!C15/'04 Prices'!C14-1</f>
        <v>6.0353266508070824E-2</v>
      </c>
      <c r="D14" s="7">
        <f>'04 Prices'!D15/'04 Prices'!D14-1</f>
        <v>1.8203117099692134E-2</v>
      </c>
      <c r="E14" s="7">
        <f>'04 Prices'!E15/'04 Prices'!E14-1</f>
        <v>3.7463723973953922E-2</v>
      </c>
      <c r="F14" s="7">
        <f>'04 Prices'!F15/'04 Prices'!F14-1</f>
        <v>0.2146355900485819</v>
      </c>
      <c r="G14" s="7">
        <f>'04 Prices'!G15/'04 Prices'!G14-1</f>
        <v>4.7713364343532572E-2</v>
      </c>
      <c r="H14" s="7">
        <f>'04 Prices'!H15/'04 Prices'!H14-1</f>
        <v>7.8917347713998165E-2</v>
      </c>
      <c r="I14" s="7">
        <f>'04 Prices'!I15/'04 Prices'!I14-1</f>
        <v>-5.1098574660301099E-2</v>
      </c>
      <c r="J14" s="7">
        <f>'04 Prices'!J15/'04 Prices'!J14-1</f>
        <v>-6.8448382059005386E-4</v>
      </c>
      <c r="K14" s="7">
        <f>'04 Prices'!K15/'04 Prices'!K14-1</f>
        <v>2.3170750446628308E-3</v>
      </c>
      <c r="L14" s="7">
        <f>'04 Prices'!L15/'04 Prices'!L14-1</f>
        <v>3.6867959639248493E-2</v>
      </c>
    </row>
    <row r="15" spans="1:12" x14ac:dyDescent="0.3">
      <c r="A15" s="16">
        <f>'04 Prices'!A16</f>
        <v>42613</v>
      </c>
      <c r="B15" s="7">
        <f>'04 Prices'!B16/'04 Prices'!B15-1</f>
        <v>7.8717194074412244E-2</v>
      </c>
      <c r="C15" s="7">
        <f>'04 Prices'!C16/'04 Prices'!C15-1</f>
        <v>1.3639826925767151E-2</v>
      </c>
      <c r="D15" s="7">
        <f>'04 Prices'!D16/'04 Prices'!D15-1</f>
        <v>-4.7394278598222872E-3</v>
      </c>
      <c r="E15" s="7">
        <f>'04 Prices'!E16/'04 Prices'!E15-1</f>
        <v>5.5182190376303009E-2</v>
      </c>
      <c r="F15" s="7">
        <f>'04 Prices'!F16/'04 Prices'!F15-1</f>
        <v>7.6235342027459962E-2</v>
      </c>
      <c r="G15" s="7">
        <f>'04 Prices'!G16/'04 Prices'!G15-1</f>
        <v>-4.8813062724202161E-2</v>
      </c>
      <c r="H15" s="7">
        <f>'04 Prices'!H16/'04 Prices'!H15-1</f>
        <v>-6.0799660283036183E-2</v>
      </c>
      <c r="I15" s="7">
        <f>'04 Prices'!I16/'04 Prices'!I15-1</f>
        <v>-1.1994717159978352E-2</v>
      </c>
      <c r="J15" s="7">
        <f>'04 Prices'!J16/'04 Prices'!J15-1</f>
        <v>-1.4265788319123174E-2</v>
      </c>
      <c r="K15" s="7">
        <f>'04 Prices'!K16/'04 Prices'!K15-1</f>
        <v>-5.5585478170574021E-2</v>
      </c>
      <c r="L15" s="7">
        <f>'04 Prices'!L16/'04 Prices'!L15-1</f>
        <v>1.4048510683579707E-3</v>
      </c>
    </row>
    <row r="16" spans="1:12" x14ac:dyDescent="0.3">
      <c r="A16" s="16">
        <f>'04 Prices'!A17</f>
        <v>42643</v>
      </c>
      <c r="B16" s="7">
        <f>'04 Prices'!B17/'04 Prices'!B16-1</f>
        <v>-6.6216248870940131E-2</v>
      </c>
      <c r="C16" s="7">
        <f>'04 Prices'!C17/'04 Prices'!C16-1</f>
        <v>8.8603182809214198E-2</v>
      </c>
      <c r="D16" s="7">
        <f>'04 Prices'!D17/'04 Prices'!D16-1</f>
        <v>-4.206354785347477E-2</v>
      </c>
      <c r="E16" s="7">
        <f>'04 Prices'!E17/'04 Prices'!E16-1</f>
        <v>-1.3481655133855353E-2</v>
      </c>
      <c r="F16" s="7">
        <f>'04 Prices'!F17/'04 Prices'!F16-1</f>
        <v>0.11705244678957993</v>
      </c>
      <c r="G16" s="7">
        <f>'04 Prices'!G17/'04 Prices'!G16-1</f>
        <v>-2.6724052818273392E-2</v>
      </c>
      <c r="H16" s="7">
        <f>'04 Prices'!H17/'04 Prices'!H16-1</f>
        <v>-2.1512947376167935E-2</v>
      </c>
      <c r="I16" s="7">
        <f>'04 Prices'!I17/'04 Prices'!I16-1</f>
        <v>1.6063987854653128E-3</v>
      </c>
      <c r="J16" s="7">
        <f>'04 Prices'!J17/'04 Prices'!J16-1</f>
        <v>9.5186440439072317E-3</v>
      </c>
      <c r="K16" s="7">
        <f>'04 Prices'!K17/'04 Prices'!K16-1</f>
        <v>-6.6881339520760141E-3</v>
      </c>
      <c r="L16" s="7">
        <f>'04 Prices'!L17/'04 Prices'!L16-1</f>
        <v>1.86884787891195E-4</v>
      </c>
    </row>
    <row r="17" spans="1:12" x14ac:dyDescent="0.3">
      <c r="A17" s="16">
        <f>'04 Prices'!A18</f>
        <v>42674</v>
      </c>
      <c r="B17" s="7">
        <f>'04 Prices'!B18/'04 Prices'!B17-1</f>
        <v>4.6309721957511041E-2</v>
      </c>
      <c r="C17" s="7">
        <f>'04 Prices'!C18/'04 Prices'!C17-1</f>
        <v>-5.6717349487768853E-2</v>
      </c>
      <c r="D17" s="7">
        <f>'04 Prices'!D18/'04 Prices'!D17-1</f>
        <v>-1.5222630850187269E-2</v>
      </c>
      <c r="E17" s="7">
        <f>'04 Prices'!E18/'04 Prices'!E17-1</f>
        <v>4.7657075754030664E-2</v>
      </c>
      <c r="F17" s="7">
        <f>'04 Prices'!F18/'04 Prices'!F17-1</f>
        <v>3.8528709637140723E-2</v>
      </c>
      <c r="G17" s="7">
        <f>'04 Prices'!G18/'04 Prices'!G17-1</f>
        <v>-6.3773228968229567E-2</v>
      </c>
      <c r="H17" s="7">
        <f>'04 Prices'!H18/'04 Prices'!H17-1</f>
        <v>7.2783511201102158E-4</v>
      </c>
      <c r="I17" s="7">
        <f>'04 Prices'!I18/'04 Prices'!I17-1</f>
        <v>-4.5371350223629259E-2</v>
      </c>
      <c r="J17" s="7">
        <f>'04 Prices'!J18/'04 Prices'!J17-1</f>
        <v>-2.9118452205855072E-2</v>
      </c>
      <c r="K17" s="7">
        <f>'04 Prices'!K18/'04 Prices'!K17-1</f>
        <v>-6.4091271418765028E-2</v>
      </c>
      <c r="L17" s="7">
        <f>'04 Prices'!L18/'04 Prices'!L17-1</f>
        <v>-1.8240492723059054E-2</v>
      </c>
    </row>
    <row r="18" spans="1:12" x14ac:dyDescent="0.3">
      <c r="A18" s="16">
        <f>'04 Prices'!A19</f>
        <v>42704</v>
      </c>
      <c r="B18" s="7">
        <f>'04 Prices'!B19/'04 Prices'!B18-1</f>
        <v>0.2323651208725861</v>
      </c>
      <c r="C18" s="7">
        <f>'04 Prices'!C19/'04 Prices'!C18-1</f>
        <v>-4.9694904403142948E-2</v>
      </c>
      <c r="D18" s="7">
        <f>'04 Prices'!D19/'04 Prices'!D18-1</f>
        <v>1.8739698614401501E-2</v>
      </c>
      <c r="E18" s="7">
        <f>'04 Prices'!E19/'04 Prices'!E18-1</f>
        <v>0.15752238380525374</v>
      </c>
      <c r="F18" s="7">
        <f>'04 Prices'!F19/'04 Prices'!F18-1</f>
        <v>0.29761187036145054</v>
      </c>
      <c r="G18" s="7">
        <f>'04 Prices'!G19/'04 Prices'!G18-1</f>
        <v>2.366894276603837E-2</v>
      </c>
      <c r="H18" s="7">
        <f>'04 Prices'!H19/'04 Prices'!H18-1</f>
        <v>0.13334857982739301</v>
      </c>
      <c r="I18" s="7">
        <f>'04 Prices'!I19/'04 Prices'!I18-1</f>
        <v>5.7045625273968392E-2</v>
      </c>
      <c r="J18" s="7">
        <f>'04 Prices'!J19/'04 Prices'!J18-1</f>
        <v>5.855731178235235E-3</v>
      </c>
      <c r="K18" s="7">
        <f>'04 Prices'!K19/'04 Prices'!K18-1</f>
        <v>3.7421945286685743E-2</v>
      </c>
      <c r="L18" s="7">
        <f>'04 Prices'!L19/'04 Prices'!L18-1</f>
        <v>3.7035137353787162E-2</v>
      </c>
    </row>
    <row r="19" spans="1:12" x14ac:dyDescent="0.3">
      <c r="A19" s="16">
        <f>'04 Prices'!A20</f>
        <v>42735</v>
      </c>
      <c r="B19" s="7">
        <f>'04 Prices'!B20/'04 Prices'!B19-1</f>
        <v>0.27272731165044428</v>
      </c>
      <c r="C19" s="7">
        <f>'04 Prices'!C20/'04 Prices'!C19-1</f>
        <v>-9.3262048229936223E-4</v>
      </c>
      <c r="D19" s="7">
        <f>'04 Prices'!D20/'04 Prices'!D19-1</f>
        <v>1.4213809941471922E-2</v>
      </c>
      <c r="E19" s="7">
        <f>'04 Prices'!E20/'04 Prices'!E19-1</f>
        <v>7.6337603222351058E-2</v>
      </c>
      <c r="F19" s="7">
        <f>'04 Prices'!F20/'04 Prices'!F19-1</f>
        <v>0.15770020084339786</v>
      </c>
      <c r="G19" s="7">
        <f>'04 Prices'!G20/'04 Prices'!G19-1</f>
        <v>1.0578697469651122E-2</v>
      </c>
      <c r="H19" s="7">
        <f>'04 Prices'!H20/'04 Prices'!H19-1</f>
        <v>-6.4862840254796161E-2</v>
      </c>
      <c r="I19" s="7">
        <f>'04 Prices'!I20/'04 Prices'!I19-1</f>
        <v>3.3906065653672934E-2</v>
      </c>
      <c r="J19" s="7">
        <f>'04 Prices'!J20/'04 Prices'!J19-1</f>
        <v>-1.1575881428282253E-2</v>
      </c>
      <c r="K19" s="7">
        <f>'04 Prices'!K20/'04 Prices'!K19-1</f>
        <v>6.9739611187059625E-2</v>
      </c>
      <c r="L19" s="7">
        <f>'04 Prices'!L20/'04 Prices'!L19-1</f>
        <v>1.976537483727947E-2</v>
      </c>
    </row>
    <row r="20" spans="1:12" x14ac:dyDescent="0.3">
      <c r="A20" s="16">
        <f>'04 Prices'!A21</f>
        <v>42766</v>
      </c>
      <c r="B20" s="7">
        <f>'04 Prices'!B21/'04 Prices'!B20-1</f>
        <v>-8.5537941265159567E-2</v>
      </c>
      <c r="C20" s="7">
        <f>'04 Prices'!C21/'04 Prices'!C20-1</f>
        <v>9.816368315739421E-2</v>
      </c>
      <c r="D20" s="7">
        <f>'04 Prices'!D21/'04 Prices'!D20-1</f>
        <v>3.5382982122013962E-2</v>
      </c>
      <c r="E20" s="7">
        <f>'04 Prices'!E21/'04 Prices'!E20-1</f>
        <v>-1.3810385260756619E-2</v>
      </c>
      <c r="F20" s="7">
        <f>'04 Prices'!F21/'04 Prices'!F20-1</f>
        <v>2.2859603680340568E-2</v>
      </c>
      <c r="G20" s="7">
        <f>'04 Prices'!G21/'04 Prices'!G20-1</f>
        <v>-2.3091136690119307E-2</v>
      </c>
      <c r="H20" s="7">
        <f>'04 Prices'!H21/'04 Prices'!H20-1</f>
        <v>-0.10729613369735425</v>
      </c>
      <c r="I20" s="7">
        <f>'04 Prices'!I21/'04 Prices'!I20-1</f>
        <v>-7.0573815105456017E-2</v>
      </c>
      <c r="J20" s="7">
        <f>'04 Prices'!J21/'04 Prices'!J20-1</f>
        <v>-3.443302434161688E-2</v>
      </c>
      <c r="K20" s="7">
        <f>'04 Prices'!K21/'04 Prices'!K20-1</f>
        <v>-7.2049768138957027E-2</v>
      </c>
      <c r="L20" s="7">
        <f>'04 Prices'!L21/'04 Prices'!L20-1</f>
        <v>1.896619487796003E-2</v>
      </c>
    </row>
    <row r="21" spans="1:12" x14ac:dyDescent="0.3">
      <c r="A21" s="16">
        <f>'04 Prices'!A22</f>
        <v>42794</v>
      </c>
      <c r="B21" s="7">
        <f>'04 Prices'!B22/'04 Prices'!B21-1</f>
        <v>0.39440696216202076</v>
      </c>
      <c r="C21" s="7">
        <f>'04 Prices'!C22/'04 Prices'!C21-1</f>
        <v>2.6181549535929882E-2</v>
      </c>
      <c r="D21" s="7">
        <f>'04 Prices'!D22/'04 Prices'!D21-1</f>
        <v>1.3754053173852476E-2</v>
      </c>
      <c r="E21" s="7">
        <f>'04 Prices'!E22/'04 Prices'!E21-1</f>
        <v>7.0778503695720696E-2</v>
      </c>
      <c r="F21" s="7">
        <f>'04 Prices'!F22/'04 Prices'!F21-1</f>
        <v>-6.9352750914140726E-2</v>
      </c>
      <c r="G21" s="7">
        <f>'04 Prices'!G22/'04 Prices'!G21-1</f>
        <v>8.6278444428873335E-2</v>
      </c>
      <c r="H21" s="7">
        <f>'04 Prices'!H22/'04 Prices'!H21-1</f>
        <v>-8.015787604563307E-2</v>
      </c>
      <c r="I21" s="7">
        <f>'04 Prices'!I22/'04 Prices'!I21-1</f>
        <v>-2.1771212281657348E-2</v>
      </c>
      <c r="J21" s="7">
        <f>'04 Prices'!J22/'04 Prices'!J21-1</f>
        <v>6.2781029658416143E-2</v>
      </c>
      <c r="K21" s="7">
        <f>'04 Prices'!K22/'04 Prices'!K21-1</f>
        <v>1.2650605552196215E-2</v>
      </c>
      <c r="L21" s="7">
        <f>'04 Prices'!L22/'04 Prices'!L21-1</f>
        <v>3.9708178765473168E-2</v>
      </c>
    </row>
    <row r="22" spans="1:12" x14ac:dyDescent="0.3">
      <c r="A22" s="16">
        <f>'04 Prices'!A23</f>
        <v>42825</v>
      </c>
      <c r="B22" s="7">
        <f>'04 Prices'!B23/'04 Prices'!B22-1</f>
        <v>6.2240769268921969E-3</v>
      </c>
      <c r="C22" s="7">
        <f>'04 Prices'!C23/'04 Prices'!C22-1</f>
        <v>4.9110120629848986E-2</v>
      </c>
      <c r="D22" s="7">
        <f>'04 Prices'!D23/'04 Prices'!D22-1</f>
        <v>-7.1029694593785719E-2</v>
      </c>
      <c r="E22" s="7">
        <f>'04 Prices'!E23/'04 Prices'!E22-1</f>
        <v>-3.0677510103222616E-2</v>
      </c>
      <c r="F22" s="7">
        <f>'04 Prices'!F23/'04 Prices'!F22-1</f>
        <v>7.3413540693724855E-2</v>
      </c>
      <c r="G22" s="7">
        <f>'04 Prices'!G23/'04 Prices'!G22-1</f>
        <v>2.6374755111944204E-3</v>
      </c>
      <c r="H22" s="7">
        <f>'04 Prices'!H23/'04 Prices'!H22-1</f>
        <v>-6.0915568813129428E-2</v>
      </c>
      <c r="I22" s="7">
        <f>'04 Prices'!I23/'04 Prices'!I22-1</f>
        <v>8.4848619911881418E-3</v>
      </c>
      <c r="J22" s="7">
        <f>'04 Prices'!J23/'04 Prices'!J22-1</f>
        <v>2.3685453541999024E-2</v>
      </c>
      <c r="K22" s="7">
        <f>'04 Prices'!K23/'04 Prices'!K22-1</f>
        <v>-1.7730926401234859E-2</v>
      </c>
      <c r="L22" s="7">
        <f>'04 Prices'!L23/'04 Prices'!L22-1</f>
        <v>1.164762075579695E-3</v>
      </c>
    </row>
    <row r="23" spans="1:12" x14ac:dyDescent="0.3">
      <c r="A23" s="16">
        <f>'04 Prices'!A24</f>
        <v>42855</v>
      </c>
      <c r="B23" s="7">
        <f>'04 Prices'!B24/'04 Prices'!B23-1</f>
        <v>-8.5910651794971704E-2</v>
      </c>
      <c r="C23" s="7">
        <f>'04 Prices'!C24/'04 Prices'!C23-1</f>
        <v>4.3370871589766935E-2</v>
      </c>
      <c r="D23" s="7">
        <f>'04 Prices'!D24/'04 Prices'!D23-1</f>
        <v>-1.3245637359664553E-3</v>
      </c>
      <c r="E23" s="7">
        <f>'04 Prices'!E24/'04 Prices'!E23-1</f>
        <v>-3.8720578158937258E-3</v>
      </c>
      <c r="F23" s="7">
        <f>'04 Prices'!F24/'04 Prices'!F23-1</f>
        <v>-4.2504785738504913E-2</v>
      </c>
      <c r="G23" s="7">
        <f>'04 Prices'!G24/'04 Prices'!G23-1</f>
        <v>-8.476962769113805E-3</v>
      </c>
      <c r="H23" s="7">
        <f>'04 Prices'!H24/'04 Prices'!H23-1</f>
        <v>1.1958592593526829E-2</v>
      </c>
      <c r="I23" s="7">
        <f>'04 Prices'!I24/'04 Prices'!I23-1</f>
        <v>-4.3897155308555424E-3</v>
      </c>
      <c r="J23" s="7">
        <f>'04 Prices'!J24/'04 Prices'!J23-1</f>
        <v>4.3007496411725965E-2</v>
      </c>
      <c r="K23" s="7">
        <f>'04 Prices'!K24/'04 Prices'!K23-1</f>
        <v>-4.702024888090206E-2</v>
      </c>
      <c r="L23" s="7">
        <f>'04 Prices'!L24/'04 Prices'!L23-1</f>
        <v>1.0270539195226025E-2</v>
      </c>
    </row>
    <row r="24" spans="1:12" x14ac:dyDescent="0.3">
      <c r="A24" s="16">
        <f>'04 Prices'!A25</f>
        <v>42886</v>
      </c>
      <c r="B24" s="7">
        <f>'04 Prices'!B25/'04 Prices'!B24-1</f>
        <v>-0.15864666015384077</v>
      </c>
      <c r="C24" s="7">
        <f>'04 Prices'!C25/'04 Prices'!C24-1</f>
        <v>7.5276461313561471E-2</v>
      </c>
      <c r="D24" s="7">
        <f>'04 Prices'!D25/'04 Prices'!D24-1</f>
        <v>-3.0514359902164889E-2</v>
      </c>
      <c r="E24" s="7">
        <f>'04 Prices'!E25/'04 Prices'!E24-1</f>
        <v>-5.5746912361943068E-2</v>
      </c>
      <c r="F24" s="7">
        <f>'04 Prices'!F25/'04 Prices'!F24-1</f>
        <v>0.38544662087559178</v>
      </c>
      <c r="G24" s="7">
        <f>'04 Prices'!G25/'04 Prices'!G24-1</f>
        <v>-2.812410073089E-2</v>
      </c>
      <c r="H24" s="7">
        <f>'04 Prices'!H25/'04 Prices'!H24-1</f>
        <v>-1.8002210394604257E-3</v>
      </c>
      <c r="I24" s="7">
        <f>'04 Prices'!I25/'04 Prices'!I24-1</f>
        <v>-4.7743778985376295E-3</v>
      </c>
      <c r="J24" s="7">
        <f>'04 Prices'!J25/'04 Prices'!J24-1</f>
        <v>5.2487341100492912E-2</v>
      </c>
      <c r="K24" s="7">
        <f>'04 Prices'!K25/'04 Prices'!K24-1</f>
        <v>1.5900926749549349E-2</v>
      </c>
      <c r="L24" s="7">
        <f>'04 Prices'!L25/'04 Prices'!L24-1</f>
        <v>1.4072531092533591E-2</v>
      </c>
    </row>
    <row r="25" spans="1:12" x14ac:dyDescent="0.3">
      <c r="A25" s="16">
        <f>'04 Prices'!A26</f>
        <v>42916</v>
      </c>
      <c r="B25" s="7">
        <f>'04 Prices'!B26/'04 Prices'!B25-1</f>
        <v>0.11528150224951905</v>
      </c>
      <c r="C25" s="7">
        <f>'04 Prices'!C26/'04 Prices'!C25-1</f>
        <v>-2.6763939875609988E-2</v>
      </c>
      <c r="D25" s="7">
        <f>'04 Prices'!D26/'04 Prices'!D25-1</f>
        <v>6.2950422566756536E-3</v>
      </c>
      <c r="E25" s="7">
        <f>'04 Prices'!E26/'04 Prices'!E25-1</f>
        <v>0.11259867755237285</v>
      </c>
      <c r="F25" s="7">
        <f>'04 Prices'!F26/'04 Prices'!F25-1</f>
        <v>1.4547229090877689E-3</v>
      </c>
      <c r="G25" s="7">
        <f>'04 Prices'!G26/'04 Prices'!G25-1</f>
        <v>2.8790425899137606E-2</v>
      </c>
      <c r="H25" s="7">
        <f>'04 Prices'!H26/'04 Prices'!H25-1</f>
        <v>-5.1858250654182814E-2</v>
      </c>
      <c r="I25" s="7">
        <f>'04 Prices'!I26/'04 Prices'!I25-1</f>
        <v>2.857501839116372E-3</v>
      </c>
      <c r="J25" s="7">
        <f>'04 Prices'!J26/'04 Prices'!J25-1</f>
        <v>-3.7150263498501479E-2</v>
      </c>
      <c r="K25" s="7">
        <f>'04 Prices'!K26/'04 Prices'!K25-1</f>
        <v>-4.2452965287205213E-2</v>
      </c>
      <c r="L25" s="7">
        <f>'04 Prices'!L26/'04 Prices'!L25-1</f>
        <v>6.2417505506746629E-3</v>
      </c>
    </row>
    <row r="26" spans="1:12" x14ac:dyDescent="0.3">
      <c r="A26" s="16">
        <f>'04 Prices'!A27</f>
        <v>42947</v>
      </c>
      <c r="B26" s="7">
        <f>'04 Prices'!B27/'04 Prices'!B26-1</f>
        <v>9.0544884290981287E-2</v>
      </c>
      <c r="C26" s="7">
        <f>'04 Prices'!C27/'04 Prices'!C26-1</f>
        <v>2.0433850866115488E-2</v>
      </c>
      <c r="D26" s="7">
        <f>'04 Prices'!D27/'04 Prices'!D26-1</f>
        <v>1.5557767489551289E-2</v>
      </c>
      <c r="E26" s="7">
        <f>'04 Prices'!E27/'04 Prices'!E26-1</f>
        <v>9.9007242026238895E-3</v>
      </c>
      <c r="F26" s="7">
        <f>'04 Prices'!F27/'04 Prices'!F26-1</f>
        <v>0.12417020755530417</v>
      </c>
      <c r="G26" s="7">
        <f>'04 Prices'!G27/'04 Prices'!G26-1</f>
        <v>-1.2801330371079667E-2</v>
      </c>
      <c r="H26" s="7">
        <f>'04 Prices'!H27/'04 Prices'!H26-1</f>
        <v>8.3763100145415548E-2</v>
      </c>
      <c r="I26" s="7">
        <f>'04 Prices'!I27/'04 Prices'!I26-1</f>
        <v>-8.547087844620771E-3</v>
      </c>
      <c r="J26" s="7">
        <f>'04 Prices'!J27/'04 Prices'!J26-1</f>
        <v>5.6950644044783783E-2</v>
      </c>
      <c r="K26" s="7">
        <f>'04 Prices'!K27/'04 Prices'!K26-1</f>
        <v>9.7957084836170605E-2</v>
      </c>
      <c r="L26" s="7">
        <f>'04 Prices'!L27/'04 Prices'!L26-1</f>
        <v>2.0562803657979689E-2</v>
      </c>
    </row>
    <row r="27" spans="1:12" x14ac:dyDescent="0.3">
      <c r="A27" s="16">
        <f>'04 Prices'!A28</f>
        <v>42978</v>
      </c>
      <c r="B27" s="7">
        <f>'04 Prices'!B28/'04 Prices'!B27-1</f>
        <v>-4.4819961211366111E-2</v>
      </c>
      <c r="C27" s="7">
        <f>'04 Prices'!C28/'04 Prices'!C27-1</f>
        <v>-7.2688485319281071E-3</v>
      </c>
      <c r="D27" s="7">
        <f>'04 Prices'!D28/'04 Prices'!D27-1</f>
        <v>-1.693407436926686E-2</v>
      </c>
      <c r="E27" s="7">
        <f>'04 Prices'!E28/'04 Prices'!E27-1</f>
        <v>-9.9125622860909424E-3</v>
      </c>
      <c r="F27" s="7">
        <f>'04 Prices'!F28/'04 Prices'!F27-1</f>
        <v>4.3561519530718629E-2</v>
      </c>
      <c r="G27" s="7">
        <f>'04 Prices'!G28/'04 Prices'!G27-1</f>
        <v>3.2910649402169589E-2</v>
      </c>
      <c r="H27" s="7">
        <f>'04 Prices'!H28/'04 Prices'!H27-1</f>
        <v>-2.6921179793270356E-2</v>
      </c>
      <c r="I27" s="7">
        <f>'04 Prices'!I28/'04 Prices'!I27-1</f>
        <v>-3.710827237972758E-2</v>
      </c>
      <c r="J27" s="7">
        <f>'04 Prices'!J28/'04 Prices'!J27-1</f>
        <v>-1.7864110361355157E-2</v>
      </c>
      <c r="K27" s="7">
        <f>'04 Prices'!K28/'04 Prices'!K27-1</f>
        <v>-8.8841863308228852E-3</v>
      </c>
      <c r="L27" s="7">
        <f>'04 Prices'!L28/'04 Prices'!L27-1</f>
        <v>3.0620867704234112E-3</v>
      </c>
    </row>
    <row r="28" spans="1:12" x14ac:dyDescent="0.3">
      <c r="A28" s="16">
        <f>'04 Prices'!A29</f>
        <v>43008</v>
      </c>
      <c r="B28" s="7">
        <f>'04 Prices'!B29/'04 Prices'!B28-1</f>
        <v>-1.9230769230769273E-2</v>
      </c>
      <c r="C28" s="7">
        <f>'04 Prices'!C29/'04 Prices'!C28-1</f>
        <v>-1.9630792069412761E-2</v>
      </c>
      <c r="D28" s="7">
        <f>'04 Prices'!D29/'04 Prices'!D28-1</f>
        <v>8.5222283207282645E-2</v>
      </c>
      <c r="E28" s="7">
        <f>'04 Prices'!E29/'04 Prices'!E28-1</f>
        <v>5.0830778584550984E-2</v>
      </c>
      <c r="F28" s="7">
        <f>'04 Prices'!F29/'04 Prices'!F28-1</f>
        <v>5.5063412538697287E-2</v>
      </c>
      <c r="G28" s="7">
        <f>'04 Prices'!G29/'04 Prices'!G28-1</f>
        <v>5.2476540927732351E-2</v>
      </c>
      <c r="H28" s="7">
        <f>'04 Prices'!H29/'04 Prices'!H28-1</f>
        <v>8.2156618963986849E-2</v>
      </c>
      <c r="I28" s="7">
        <f>'04 Prices'!I29/'04 Prices'!I28-1</f>
        <v>7.4020310688341473E-2</v>
      </c>
      <c r="J28" s="7">
        <f>'04 Prices'!J29/'04 Prices'!J28-1</f>
        <v>8.9661261772655543E-4</v>
      </c>
      <c r="K28" s="7">
        <f>'04 Prices'!K29/'04 Prices'!K28-1</f>
        <v>3.1687006006560381E-2</v>
      </c>
      <c r="L28" s="7">
        <f>'04 Prices'!L29/'04 Prices'!L28-1</f>
        <v>2.0627755781585266E-2</v>
      </c>
    </row>
    <row r="29" spans="1:12" x14ac:dyDescent="0.3">
      <c r="A29" s="16">
        <f>'04 Prices'!A30</f>
        <v>43039</v>
      </c>
      <c r="B29" s="7">
        <f>'04 Prices'!B30/'04 Prices'!B29-1</f>
        <v>-0.13803923363921566</v>
      </c>
      <c r="C29" s="7">
        <f>'04 Prices'!C30/'04 Prices'!C29-1</f>
        <v>0.14971651762600069</v>
      </c>
      <c r="D29" s="7">
        <f>'04 Prices'!D30/'04 Prices'!D29-1</f>
        <v>3.7790709197779382E-2</v>
      </c>
      <c r="E29" s="7">
        <f>'04 Prices'!E30/'04 Prices'!E29-1</f>
        <v>5.9555076375181981E-2</v>
      </c>
      <c r="F29" s="7">
        <f>'04 Prices'!F30/'04 Prices'!F29-1</f>
        <v>0.15684994168286792</v>
      </c>
      <c r="G29" s="7">
        <f>'04 Prices'!G30/'04 Prices'!G29-1</f>
        <v>-1.7927194468697838E-2</v>
      </c>
      <c r="H29" s="7">
        <f>'04 Prices'!H30/'04 Prices'!H29-1</f>
        <v>5.0868130370385067E-4</v>
      </c>
      <c r="I29" s="7">
        <f>'04 Prices'!I30/'04 Prices'!I29-1</f>
        <v>1.6711587690839691E-2</v>
      </c>
      <c r="J29" s="7">
        <f>'04 Prices'!J30/'04 Prices'!J29-1</f>
        <v>0.11735356054807955</v>
      </c>
      <c r="K29" s="7">
        <f>'04 Prices'!K30/'04 Prices'!K29-1</f>
        <v>-2.1130512126659173E-2</v>
      </c>
      <c r="L29" s="7">
        <f>'04 Prices'!L30/'04 Prices'!L29-1</f>
        <v>2.3334751503540696E-2</v>
      </c>
    </row>
    <row r="30" spans="1:12" x14ac:dyDescent="0.3">
      <c r="A30" s="16">
        <f>'04 Prices'!A31</f>
        <v>43069</v>
      </c>
      <c r="B30" s="7">
        <f>'04 Prices'!B31/'04 Prices'!B30-1</f>
        <v>-9.0991291977061683E-3</v>
      </c>
      <c r="C30" s="7">
        <f>'04 Prices'!C31/'04 Prices'!C30-1</f>
        <v>6.4662376788585885E-2</v>
      </c>
      <c r="D30" s="7">
        <f>'04 Prices'!D31/'04 Prices'!D30-1</f>
        <v>2.0375549365221346E-2</v>
      </c>
      <c r="E30" s="7">
        <f>'04 Prices'!E31/'04 Prices'!E30-1</f>
        <v>3.8862790614585307E-2</v>
      </c>
      <c r="F30" s="7">
        <f>'04 Prices'!F31/'04 Prices'!F30-1</f>
        <v>-2.8821505130176228E-2</v>
      </c>
      <c r="G30" s="7">
        <f>'04 Prices'!G31/'04 Prices'!G30-1</f>
        <v>4.3677631970250763E-2</v>
      </c>
      <c r="H30" s="7">
        <f>'04 Prices'!H31/'04 Prices'!H30-1</f>
        <v>2.5088529602362186E-2</v>
      </c>
      <c r="I30" s="7">
        <f>'04 Prices'!I31/'04 Prices'!I30-1</f>
        <v>8.5283858527189782E-3</v>
      </c>
      <c r="J30" s="7">
        <f>'04 Prices'!J31/'04 Prices'!J30-1</f>
        <v>0.11361794053674523</v>
      </c>
      <c r="K30" s="7">
        <f>'04 Prices'!K31/'04 Prices'!K30-1</f>
        <v>6.3087645959351235E-2</v>
      </c>
      <c r="L30" s="7">
        <f>'04 Prices'!L31/'04 Prices'!L30-1</f>
        <v>3.0669580718039047E-2</v>
      </c>
    </row>
    <row r="31" spans="1:12" x14ac:dyDescent="0.3">
      <c r="A31" s="16">
        <f>'04 Prices'!A32</f>
        <v>43100</v>
      </c>
      <c r="B31" s="7">
        <f>'04 Prices'!B32/'04 Prices'!B31-1</f>
        <v>-5.6014746654741709E-2</v>
      </c>
      <c r="C31" s="7">
        <f>'04 Prices'!C32/'04 Prices'!C31-1</f>
        <v>-6.1865684021230605E-3</v>
      </c>
      <c r="D31" s="7">
        <f>'04 Prices'!D32/'04 Prices'!D31-1</f>
        <v>-2.3967990511482018E-3</v>
      </c>
      <c r="E31" s="7">
        <f>'04 Prices'!E32/'04 Prices'!E31-1</f>
        <v>2.3153324407126696E-2</v>
      </c>
      <c r="F31" s="7">
        <f>'04 Prices'!F32/'04 Prices'!F31-1</f>
        <v>-3.5922487388107105E-2</v>
      </c>
      <c r="G31" s="7">
        <f>'04 Prices'!G32/'04 Prices'!G31-1</f>
        <v>-1.1030668226256202E-3</v>
      </c>
      <c r="H31" s="7">
        <f>'04 Prices'!H32/'04 Prices'!H31-1</f>
        <v>8.9315531405147031E-2</v>
      </c>
      <c r="I31" s="7">
        <f>'04 Prices'!I32/'04 Prices'!I31-1</f>
        <v>4.202097594221188E-3</v>
      </c>
      <c r="J31" s="7">
        <f>'04 Prices'!J32/'04 Prices'!J31-1</f>
        <v>2.0985695102494484E-2</v>
      </c>
      <c r="K31" s="7">
        <f>'04 Prices'!K32/'04 Prices'!K31-1</f>
        <v>4.0086595199643194E-2</v>
      </c>
      <c r="L31" s="7">
        <f>'04 Prices'!L32/'04 Prices'!L31-1</f>
        <v>1.1118318681125672E-2</v>
      </c>
    </row>
    <row r="32" spans="1:12" x14ac:dyDescent="0.3">
      <c r="A32" s="16">
        <f>'04 Prices'!A33</f>
        <v>43131</v>
      </c>
      <c r="B32" s="7">
        <f>'04 Prices'!B33/'04 Prices'!B32-1</f>
        <v>0.33657588793441273</v>
      </c>
      <c r="C32" s="7">
        <f>'04 Prices'!C33/'04 Prices'!C32-1</f>
        <v>0.24063897541800117</v>
      </c>
      <c r="D32" s="7">
        <f>'04 Prices'!D33/'04 Prices'!D32-1</f>
        <v>-0.1000678300835226</v>
      </c>
      <c r="E32" s="7">
        <f>'04 Prices'!E33/'04 Prices'!E32-1</f>
        <v>8.7269283433599742E-2</v>
      </c>
      <c r="F32" s="7">
        <f>'04 Prices'!F33/'04 Prices'!F32-1</f>
        <v>0.27028430877248932</v>
      </c>
      <c r="G32" s="7">
        <f>'04 Prices'!G33/'04 Prices'!G32-1</f>
        <v>2.2639298434198096E-2</v>
      </c>
      <c r="H32" s="7">
        <f>'04 Prices'!H33/'04 Prices'!H32-1</f>
        <v>0.15279685864308945</v>
      </c>
      <c r="I32" s="7">
        <f>'04 Prices'!I33/'04 Prices'!I32-1</f>
        <v>4.3758923595088817E-2</v>
      </c>
      <c r="J32" s="7">
        <f>'04 Prices'!J33/'04 Prices'!J32-1</f>
        <v>7.9493769883539844E-2</v>
      </c>
      <c r="K32" s="7">
        <f>'04 Prices'!K33/'04 Prices'!K32-1</f>
        <v>3.3173186593439929E-2</v>
      </c>
      <c r="L32" s="7">
        <f>'04 Prices'!L33/'04 Prices'!L32-1</f>
        <v>5.7253778946113165E-2</v>
      </c>
    </row>
    <row r="33" spans="1:12" x14ac:dyDescent="0.3">
      <c r="A33" s="16">
        <f>'04 Prices'!A34</f>
        <v>43159</v>
      </c>
      <c r="B33" s="7">
        <f>'04 Prices'!B34/'04 Prices'!B33-1</f>
        <v>-0.11863174247123776</v>
      </c>
      <c r="C33" s="7">
        <f>'04 Prices'!C34/'04 Prices'!C33-1</f>
        <v>4.2429063602098749E-2</v>
      </c>
      <c r="D33" s="7">
        <f>'04 Prices'!D34/'04 Prices'!D33-1</f>
        <v>-3.2816869383962E-2</v>
      </c>
      <c r="E33" s="7">
        <f>'04 Prices'!E34/'04 Prices'!E33-1</f>
        <v>-1.4697365478112401E-3</v>
      </c>
      <c r="F33" s="7">
        <f>'04 Prices'!F34/'04 Prices'!F33-1</f>
        <v>-1.484804321352573E-2</v>
      </c>
      <c r="G33" s="7">
        <f>'04 Prices'!G34/'04 Prices'!G33-1</f>
        <v>-1.0626864815738934E-2</v>
      </c>
      <c r="H33" s="7">
        <f>'04 Prices'!H34/'04 Prices'!H33-1</f>
        <v>1.0804833406089509E-2</v>
      </c>
      <c r="I33" s="7">
        <f>'04 Prices'!I34/'04 Prices'!I33-1</f>
        <v>-0.12354516654058867</v>
      </c>
      <c r="J33" s="7">
        <f>'04 Prices'!J34/'04 Prices'!J33-1</f>
        <v>-0.1556285035520375</v>
      </c>
      <c r="K33" s="7">
        <f>'04 Prices'!K34/'04 Prices'!K33-1</f>
        <v>-0.11707042622126496</v>
      </c>
      <c r="L33" s="7">
        <f>'04 Prices'!L34/'04 Prices'!L33-1</f>
        <v>-3.6855811814390682E-2</v>
      </c>
    </row>
    <row r="34" spans="1:12" x14ac:dyDescent="0.3">
      <c r="A34" s="16">
        <f>'04 Prices'!A35</f>
        <v>43190</v>
      </c>
      <c r="B34" s="7">
        <f>'04 Prices'!B35/'04 Prices'!B34-1</f>
        <v>-0.17010731002459445</v>
      </c>
      <c r="C34" s="7">
        <f>'04 Prices'!C35/'04 Prices'!C34-1</f>
        <v>-4.304936888625388E-2</v>
      </c>
      <c r="D34" s="7">
        <f>'04 Prices'!D35/'04 Prices'!D34-1</f>
        <v>4.4297989906476154E-2</v>
      </c>
      <c r="E34" s="7">
        <f>'04 Prices'!E35/'04 Prices'!E34-1</f>
        <v>-4.7878552998740775E-2</v>
      </c>
      <c r="F34" s="7">
        <f>'04 Prices'!F35/'04 Prices'!F34-1</f>
        <v>-4.30166493900066E-2</v>
      </c>
      <c r="G34" s="7">
        <f>'04 Prices'!G35/'04 Prices'!G34-1</f>
        <v>-2.2583166172666203E-2</v>
      </c>
      <c r="H34" s="7">
        <f>'04 Prices'!H35/'04 Prices'!H34-1</f>
        <v>-7.9299814604086416E-2</v>
      </c>
      <c r="I34" s="7">
        <f>'04 Prices'!I35/'04 Prices'!I34-1</f>
        <v>-1.4919482721887145E-2</v>
      </c>
      <c r="J34" s="7">
        <f>'04 Prices'!J35/'04 Prices'!J34-1</f>
        <v>-5.6611766590851653E-3</v>
      </c>
      <c r="K34" s="7">
        <f>'04 Prices'!K35/'04 Prices'!K34-1</f>
        <v>1.6755771146972354E-3</v>
      </c>
      <c r="L34" s="7">
        <f>'04 Prices'!L35/'04 Prices'!L34-1</f>
        <v>-2.5414020167506712E-2</v>
      </c>
    </row>
    <row r="35" spans="1:12" x14ac:dyDescent="0.3">
      <c r="A35" s="16">
        <f>'04 Prices'!A36</f>
        <v>43220</v>
      </c>
      <c r="B35" s="7">
        <f>'04 Prices'!B36/'04 Prices'!B35-1</f>
        <v>8.258705551747747E-2</v>
      </c>
      <c r="C35" s="7">
        <f>'04 Prices'!C36/'04 Prices'!C35-1</f>
        <v>8.2074796472200839E-2</v>
      </c>
      <c r="D35" s="7">
        <f>'04 Prices'!D36/'04 Prices'!D35-1</f>
        <v>2.8050971331463392E-2</v>
      </c>
      <c r="E35" s="7">
        <f>'04 Prices'!E36/'04 Prices'!E35-1</f>
        <v>-5.8052006344634366E-3</v>
      </c>
      <c r="F35" s="7">
        <f>'04 Prices'!F36/'04 Prices'!F35-1</f>
        <v>-2.8887352763275587E-2</v>
      </c>
      <c r="G35" s="7">
        <f>'04 Prices'!G36/'04 Prices'!G35-1</f>
        <v>3.1558053175321232E-2</v>
      </c>
      <c r="H35" s="7">
        <f>'04 Prices'!H36/'04 Prices'!H35-1</f>
        <v>4.5657378145653738E-2</v>
      </c>
      <c r="I35" s="7">
        <f>'04 Prices'!I36/'04 Prices'!I35-1</f>
        <v>4.2085651016529946E-2</v>
      </c>
      <c r="J35" s="7">
        <f>'04 Prices'!J36/'04 Prices'!J35-1</f>
        <v>-5.7322387006093489E-3</v>
      </c>
      <c r="K35" s="7">
        <f>'04 Prices'!K36/'04 Prices'!K35-1</f>
        <v>4.4980215652624667E-2</v>
      </c>
      <c r="L35" s="7">
        <f>'04 Prices'!L36/'04 Prices'!L35-1</f>
        <v>3.8371097668588039E-3</v>
      </c>
    </row>
    <row r="36" spans="1:12" x14ac:dyDescent="0.3">
      <c r="A36" s="16">
        <f>'04 Prices'!A37</f>
        <v>43251</v>
      </c>
      <c r="B36" s="7">
        <f>'04 Prices'!B37/'04 Prices'!B36-1</f>
        <v>0.26194847406554178</v>
      </c>
      <c r="C36" s="7">
        <f>'04 Prices'!C37/'04 Prices'!C36-1</f>
        <v>4.053941088014601E-2</v>
      </c>
      <c r="D36" s="7">
        <f>'04 Prices'!D37/'04 Prices'!D36-1</f>
        <v>2.7579938591553832E-2</v>
      </c>
      <c r="E36" s="7">
        <f>'04 Prices'!E37/'04 Prices'!E36-1</f>
        <v>-1.627125339773039E-2</v>
      </c>
      <c r="F36" s="7">
        <f>'04 Prices'!F37/'04 Prices'!F36-1</f>
        <v>0.12203654741887759</v>
      </c>
      <c r="G36" s="7">
        <f>'04 Prices'!G37/'04 Prices'!G36-1</f>
        <v>-8.9936146860956079E-3</v>
      </c>
      <c r="H36" s="7">
        <f>'04 Prices'!H37/'04 Prices'!H36-1</f>
        <v>1.2606393278561834E-2</v>
      </c>
      <c r="I36" s="7">
        <f>'04 Prices'!I37/'04 Prices'!I36-1</f>
        <v>5.5478157395256744E-2</v>
      </c>
      <c r="J36" s="7">
        <f>'04 Prices'!J37/'04 Prices'!J36-1</f>
        <v>-6.104480054605721E-2</v>
      </c>
      <c r="K36" s="7">
        <f>'04 Prices'!K37/'04 Prices'!K36-1</f>
        <v>-3.4042625029504836E-2</v>
      </c>
      <c r="L36" s="7">
        <f>'04 Prices'!L37/'04 Prices'!L36-1</f>
        <v>2.4082244246019124E-2</v>
      </c>
    </row>
    <row r="37" spans="1:12" x14ac:dyDescent="0.3">
      <c r="A37" s="16">
        <f>'04 Prices'!A38</f>
        <v>43281</v>
      </c>
      <c r="B37" s="7">
        <f>'04 Prices'!B38/'04 Prices'!B37-1</f>
        <v>9.1769866781663989E-2</v>
      </c>
      <c r="C37" s="7">
        <f>'04 Prices'!C38/'04 Prices'!C37-1</f>
        <v>4.3065192318333834E-2</v>
      </c>
      <c r="D37" s="7">
        <f>'04 Prices'!D38/'04 Prices'!D37-1</f>
        <v>-4.1558143451625784E-2</v>
      </c>
      <c r="E37" s="7">
        <f>'04 Prices'!E38/'04 Prices'!E37-1</f>
        <v>-2.6259089097745991E-2</v>
      </c>
      <c r="F37" s="7">
        <f>'04 Prices'!F38/'04 Prices'!F37-1</f>
        <v>-6.0628892545312008E-2</v>
      </c>
      <c r="G37" s="7">
        <f>'04 Prices'!G38/'04 Prices'!G37-1</f>
        <v>9.7410536135686954E-3</v>
      </c>
      <c r="H37" s="7">
        <f>'04 Prices'!H38/'04 Prices'!H37-1</f>
        <v>4.4313595732796252E-2</v>
      </c>
      <c r="I37" s="7">
        <f>'04 Prices'!I38/'04 Prices'!I37-1</f>
        <v>1.8340879290958734E-2</v>
      </c>
      <c r="J37" s="7">
        <f>'04 Prices'!J38/'04 Prices'!J37-1</f>
        <v>3.7678710507362156E-2</v>
      </c>
      <c r="K37" s="7">
        <f>'04 Prices'!K38/'04 Prices'!K37-1</f>
        <v>5.5381097933419721E-2</v>
      </c>
      <c r="L37" s="7">
        <f>'04 Prices'!L38/'04 Prices'!L37-1</f>
        <v>6.1544498709982243E-3</v>
      </c>
    </row>
    <row r="38" spans="1:12" x14ac:dyDescent="0.3">
      <c r="A38" s="16">
        <f>'04 Prices'!A39</f>
        <v>43312</v>
      </c>
      <c r="B38" s="7">
        <f>'04 Prices'!B39/'04 Prices'!B38-1</f>
        <v>0.22281522372264218</v>
      </c>
      <c r="C38" s="7">
        <f>'04 Prices'!C39/'04 Prices'!C38-1</f>
        <v>4.5676007549983355E-2</v>
      </c>
      <c r="D38" s="7">
        <f>'04 Prices'!D39/'04 Prices'!D38-1</f>
        <v>-8.0294510925021378E-2</v>
      </c>
      <c r="E38" s="7">
        <f>'04 Prices'!E39/'04 Prices'!E38-1</f>
        <v>0.10916165266929756</v>
      </c>
      <c r="F38" s="7">
        <f>'04 Prices'!F39/'04 Prices'!F38-1</f>
        <v>3.360070263205639E-2</v>
      </c>
      <c r="G38" s="7">
        <f>'04 Prices'!G39/'04 Prices'!G38-1</f>
        <v>0.10060627441787018</v>
      </c>
      <c r="H38" s="7">
        <f>'04 Prices'!H39/'04 Prices'!H38-1</f>
        <v>5.9905020945917986E-2</v>
      </c>
      <c r="I38" s="7">
        <f>'04 Prices'!I39/'04 Prices'!I38-1</f>
        <v>-1.4746707262630165E-2</v>
      </c>
      <c r="J38" s="7">
        <f>'04 Prices'!J39/'04 Prices'!J38-1</f>
        <v>4.1797987952880034E-2</v>
      </c>
      <c r="K38" s="7">
        <f>'04 Prices'!K39/'04 Prices'!K38-1</f>
        <v>3.8336252173019503E-2</v>
      </c>
      <c r="L38" s="7">
        <f>'04 Prices'!L39/'04 Prices'!L38-1</f>
        <v>3.7214764795888255E-2</v>
      </c>
    </row>
    <row r="39" spans="1:12" x14ac:dyDescent="0.3">
      <c r="A39" s="16">
        <f>'04 Prices'!A40</f>
        <v>43343</v>
      </c>
      <c r="B39" s="7">
        <f>'04 Prices'!B40/'04 Prices'!B39-1</f>
        <v>0.37315876601593079</v>
      </c>
      <c r="C39" s="7">
        <f>'04 Prices'!C40/'04 Prices'!C39-1</f>
        <v>0.13236448128743095</v>
      </c>
      <c r="D39" s="7">
        <f>'04 Prices'!D40/'04 Prices'!D39-1</f>
        <v>-5.5776848277068969E-2</v>
      </c>
      <c r="E39" s="7">
        <f>'04 Prices'!E40/'04 Prices'!E39-1</f>
        <v>-3.2187865945118022E-3</v>
      </c>
      <c r="F39" s="7">
        <f>'04 Prices'!F40/'04 Prices'!F39-1</f>
        <v>0.14691440812383338</v>
      </c>
      <c r="G39" s="7">
        <f>'04 Prices'!G40/'04 Prices'!G39-1</f>
        <v>4.8673741958043415E-2</v>
      </c>
      <c r="H39" s="7">
        <f>'04 Prices'!H40/'04 Prices'!H39-1</f>
        <v>9.3056772665958132E-2</v>
      </c>
      <c r="I39" s="7">
        <f>'04 Prices'!I40/'04 Prices'!I39-1</f>
        <v>-6.2948606644042115E-3</v>
      </c>
      <c r="J39" s="7">
        <f>'04 Prices'!J40/'04 Prices'!J39-1</f>
        <v>8.0542068934606359E-2</v>
      </c>
      <c r="K39" s="7">
        <f>'04 Prices'!K40/'04 Prices'!K39-1</f>
        <v>5.286546467162867E-2</v>
      </c>
      <c r="L39" s="7">
        <f>'04 Prices'!L40/'04 Prices'!L39-1</f>
        <v>3.2583990699524001E-2</v>
      </c>
    </row>
    <row r="40" spans="1:12" x14ac:dyDescent="0.3">
      <c r="A40" s="16">
        <f>'04 Prices'!A41</f>
        <v>43373</v>
      </c>
      <c r="B40" s="7">
        <f>'04 Prices'!B41/'04 Prices'!B40-1</f>
        <v>0.22725464028448439</v>
      </c>
      <c r="C40" s="7">
        <f>'04 Prices'!C41/'04 Prices'!C40-1</f>
        <v>-4.8243068342868067E-3</v>
      </c>
      <c r="D40" s="7">
        <f>'04 Prices'!D41/'04 Prices'!D40-1</f>
        <v>-2.4261570865515059E-2</v>
      </c>
      <c r="E40" s="7">
        <f>'04 Prices'!E41/'04 Prices'!E40-1</f>
        <v>-1.5186044247245345E-2</v>
      </c>
      <c r="F40" s="7">
        <f>'04 Prices'!F41/'04 Prices'!F40-1</f>
        <v>1.2115789321196502E-3</v>
      </c>
      <c r="G40" s="7">
        <f>'04 Prices'!G41/'04 Prices'!G40-1</f>
        <v>6.1416244680625898E-2</v>
      </c>
      <c r="H40" s="7">
        <f>'04 Prices'!H41/'04 Prices'!H40-1</f>
        <v>8.1141707079297465E-3</v>
      </c>
      <c r="I40" s="7">
        <f>'04 Prices'!I41/'04 Prices'!I40-1</f>
        <v>6.0496330578516222E-2</v>
      </c>
      <c r="J40" s="7">
        <f>'04 Prices'!J41/'04 Prices'!J40-1</f>
        <v>-2.0341998569902486E-2</v>
      </c>
      <c r="K40" s="7">
        <f>'04 Prices'!K41/'04 Prices'!K40-1</f>
        <v>-1.8024154403682102E-2</v>
      </c>
      <c r="L40" s="7">
        <f>'04 Prices'!L41/'04 Prices'!L40-1</f>
        <v>5.6920706187126857E-3</v>
      </c>
    </row>
    <row r="41" spans="1:12" x14ac:dyDescent="0.3">
      <c r="A41" s="16">
        <f>'04 Prices'!A42</f>
        <v>43404</v>
      </c>
      <c r="B41" s="7">
        <f>'04 Prices'!B42/'04 Prices'!B41-1</f>
        <v>-0.4104888493254254</v>
      </c>
      <c r="C41" s="7">
        <f>'04 Prices'!C42/'04 Prices'!C41-1</f>
        <v>-0.20219175018427737</v>
      </c>
      <c r="D41" s="7">
        <f>'04 Prices'!D42/'04 Prices'!D41-1</f>
        <v>5.0979359837830973E-2</v>
      </c>
      <c r="E41" s="7">
        <f>'04 Prices'!E42/'04 Prices'!E41-1</f>
        <v>-2.7087402820014761E-2</v>
      </c>
      <c r="F41" s="7">
        <f>'04 Prices'!F42/'04 Prices'!F41-1</f>
        <v>-0.24976859734716561</v>
      </c>
      <c r="G41" s="7">
        <f>'04 Prices'!G42/'04 Prices'!G41-1</f>
        <v>-2.2918153911644534E-2</v>
      </c>
      <c r="H41" s="7">
        <f>'04 Prices'!H42/'04 Prices'!H41-1</f>
        <v>-5.1921726093925979E-2</v>
      </c>
      <c r="I41" s="7">
        <f>'04 Prices'!I42/'04 Prices'!I41-1</f>
        <v>-6.2808846016942144E-2</v>
      </c>
      <c r="J41" s="7">
        <f>'04 Prices'!J42/'04 Prices'!J41-1</f>
        <v>6.7830921861758764E-2</v>
      </c>
      <c r="K41" s="7">
        <f>'04 Prices'!K42/'04 Prices'!K41-1</f>
        <v>8.1150130350697625E-2</v>
      </c>
      <c r="L41" s="7">
        <f>'04 Prices'!L42/'04 Prices'!L41-1</f>
        <v>-6.8349988867634326E-2</v>
      </c>
    </row>
    <row r="42" spans="1:12" x14ac:dyDescent="0.3">
      <c r="A42" s="16">
        <f>'04 Prices'!A43</f>
        <v>43434</v>
      </c>
      <c r="B42" s="7">
        <f>'04 Prices'!B43/'04 Prices'!B42-1</f>
        <v>0.1696870020839345</v>
      </c>
      <c r="C42" s="7">
        <f>'04 Prices'!C43/'04 Prices'!C42-1</f>
        <v>5.7671752452632008E-2</v>
      </c>
      <c r="D42" s="7">
        <f>'04 Prices'!D43/'04 Prices'!D42-1</f>
        <v>-1.4659952546827837E-2</v>
      </c>
      <c r="E42" s="7">
        <f>'04 Prices'!E43/'04 Prices'!E42-1</f>
        <v>1.9904827630720545E-2</v>
      </c>
      <c r="F42" s="7">
        <f>'04 Prices'!F43/'04 Prices'!F42-1</f>
        <v>-0.22405027917830822</v>
      </c>
      <c r="G42" s="7">
        <f>'04 Prices'!G43/'04 Prices'!G42-1</f>
        <v>8.1903062023861661E-2</v>
      </c>
      <c r="H42" s="7">
        <f>'04 Prices'!H43/'04 Prices'!H42-1</f>
        <v>-0.14446195046698074</v>
      </c>
      <c r="I42" s="7">
        <f>'04 Prices'!I43/'04 Prices'!I42-1</f>
        <v>7.8551070504162546E-3</v>
      </c>
      <c r="J42" s="7">
        <f>'04 Prices'!J43/'04 Prices'!J42-1</f>
        <v>-2.6226923126867585E-2</v>
      </c>
      <c r="K42" s="7">
        <f>'04 Prices'!K43/'04 Prices'!K42-1</f>
        <v>5.6226806824859477E-2</v>
      </c>
      <c r="L42" s="7">
        <f>'04 Prices'!L43/'04 Prices'!L42-1</f>
        <v>2.0378083783335832E-2</v>
      </c>
    </row>
    <row r="43" spans="1:12" x14ac:dyDescent="0.3">
      <c r="A43" s="16">
        <f>'04 Prices'!A44</f>
        <v>43465</v>
      </c>
      <c r="B43" s="7">
        <f>'04 Prices'!B44/'04 Prices'!B43-1</f>
        <v>-0.13333334527323981</v>
      </c>
      <c r="C43" s="7">
        <f>'04 Prices'!C44/'04 Prices'!C43-1</f>
        <v>-0.1113497000638789</v>
      </c>
      <c r="D43" s="7">
        <f>'04 Prices'!D44/'04 Prices'!D43-1</f>
        <v>-0.18703505346575122</v>
      </c>
      <c r="E43" s="7">
        <f>'04 Prices'!E44/'04 Prices'!E43-1</f>
        <v>-0.12204332664950857</v>
      </c>
      <c r="F43" s="7">
        <f>'04 Prices'!F44/'04 Prices'!F43-1</f>
        <v>-0.18313635265548922</v>
      </c>
      <c r="G43" s="7">
        <f>'04 Prices'!G44/'04 Prices'!G43-1</f>
        <v>-5.5808306804751684E-2</v>
      </c>
      <c r="H43" s="7">
        <f>'04 Prices'!H44/'04 Prices'!H43-1</f>
        <v>-6.863006578257469E-2</v>
      </c>
      <c r="I43" s="7">
        <f>'04 Prices'!I44/'04 Prices'!I43-1</f>
        <v>-0.14226392002393351</v>
      </c>
      <c r="J43" s="7">
        <f>'04 Prices'!J44/'04 Prices'!J43-1</f>
        <v>-4.0877136614248855E-2</v>
      </c>
      <c r="K43" s="7">
        <f>'04 Prices'!K44/'04 Prices'!K43-1</f>
        <v>-6.7661620506097364E-2</v>
      </c>
      <c r="L43" s="7">
        <f>'04 Prices'!L44/'04 Prices'!L43-1</f>
        <v>-9.0289843655437241E-2</v>
      </c>
    </row>
    <row r="44" spans="1:12" x14ac:dyDescent="0.3">
      <c r="A44" s="16">
        <f>'04 Prices'!A45</f>
        <v>43496</v>
      </c>
      <c r="B44" s="7">
        <f>'04 Prices'!B45/'04 Prices'!B44-1</f>
        <v>0.32231858385604895</v>
      </c>
      <c r="C44" s="7">
        <f>'04 Prices'!C45/'04 Prices'!C44-1</f>
        <v>0.14431709005199522</v>
      </c>
      <c r="D44" s="7">
        <f>'04 Prices'!D45/'04 Prices'!D44-1</f>
        <v>0.17036742191174459</v>
      </c>
      <c r="E44" s="7">
        <f>'04 Prices'!E45/'04 Prices'!E44-1</f>
        <v>6.8843282321998212E-2</v>
      </c>
      <c r="F44" s="7">
        <f>'04 Prices'!F45/'04 Prices'!F44-1</f>
        <v>7.6778735237454709E-2</v>
      </c>
      <c r="G44" s="7">
        <f>'04 Prices'!G45/'04 Prices'!G44-1</f>
        <v>-1.8997481053309451E-2</v>
      </c>
      <c r="H44" s="7">
        <f>'04 Prices'!H45/'04 Prices'!H44-1</f>
        <v>0.10455451848696784</v>
      </c>
      <c r="I44" s="7">
        <f>'04 Prices'!I45/'04 Prices'!I44-1</f>
        <v>7.4644325005154277E-2</v>
      </c>
      <c r="J44" s="7">
        <f>'04 Prices'!J45/'04 Prices'!J44-1</f>
        <v>2.877094362501853E-2</v>
      </c>
      <c r="K44" s="7">
        <f>'04 Prices'!K45/'04 Prices'!K44-1</f>
        <v>-1.0411955985605958E-2</v>
      </c>
      <c r="L44" s="7">
        <f>'04 Prices'!L45/'04 Prices'!L44-1</f>
        <v>8.0134835692210915E-2</v>
      </c>
    </row>
    <row r="45" spans="1:12" x14ac:dyDescent="0.3">
      <c r="A45" s="16">
        <f>'04 Prices'!A46</f>
        <v>43524</v>
      </c>
      <c r="B45" s="7">
        <f>'04 Prices'!B46/'04 Prices'!B45-1</f>
        <v>-3.6050764698949078E-2</v>
      </c>
      <c r="C45" s="7">
        <f>'04 Prices'!C46/'04 Prices'!C45-1</f>
        <v>-4.5905984879345163E-2</v>
      </c>
      <c r="D45" s="7">
        <f>'04 Prices'!D46/'04 Prices'!D45-1</f>
        <v>-3.4088768165344563E-3</v>
      </c>
      <c r="E45" s="7">
        <f>'04 Prices'!E46/'04 Prices'!E45-1</f>
        <v>8.3095534238402102E-3</v>
      </c>
      <c r="F45" s="7">
        <f>'04 Prices'!F46/'04 Prices'!F45-1</f>
        <v>7.4219209960773025E-2</v>
      </c>
      <c r="G45" s="7">
        <f>'04 Prices'!G46/'04 Prices'!G45-1</f>
        <v>2.1201436499199922E-2</v>
      </c>
      <c r="H45" s="7">
        <f>'04 Prices'!H46/'04 Prices'!H45-1</f>
        <v>3.8891065603050556E-3</v>
      </c>
      <c r="I45" s="7">
        <f>'04 Prices'!I46/'04 Prices'!I45-1</f>
        <v>9.0439698412966063E-2</v>
      </c>
      <c r="J45" s="7">
        <f>'04 Prices'!J46/'04 Prices'!J45-1</f>
        <v>3.2975004176871492E-2</v>
      </c>
      <c r="K45" s="7">
        <f>'04 Prices'!K46/'04 Prices'!K45-1</f>
        <v>3.3781567450344552E-2</v>
      </c>
      <c r="L45" s="7">
        <f>'04 Prices'!L46/'04 Prices'!L45-1</f>
        <v>3.2108513276877693E-2</v>
      </c>
    </row>
    <row r="46" spans="1:12" x14ac:dyDescent="0.3">
      <c r="A46" s="16">
        <f>'04 Prices'!A47</f>
        <v>43555</v>
      </c>
      <c r="B46" s="7">
        <f>'04 Prices'!B47/'04 Prices'!B46-1</f>
        <v>8.4572873486284061E-2</v>
      </c>
      <c r="C46" s="7">
        <f>'04 Prices'!C47/'04 Prices'!C46-1</f>
        <v>8.5935707313171905E-2</v>
      </c>
      <c r="D46" s="7">
        <f>'04 Prices'!D47/'04 Prices'!D46-1</f>
        <v>1.140047281030343E-3</v>
      </c>
      <c r="E46" s="7">
        <f>'04 Prices'!E47/'04 Prices'!E46-1</f>
        <v>-2.9992647396080097E-2</v>
      </c>
      <c r="F46" s="7">
        <f>'04 Prices'!F47/'04 Prices'!F46-1</f>
        <v>0.16400896615270688</v>
      </c>
      <c r="G46" s="7">
        <f>'04 Prices'!G47/'04 Prices'!G46-1</f>
        <v>-2.0299892969896982E-2</v>
      </c>
      <c r="H46" s="7">
        <f>'04 Prices'!H47/'04 Prices'!H46-1</f>
        <v>0.10490074082459011</v>
      </c>
      <c r="I46" s="7">
        <f>'04 Prices'!I47/'04 Prices'!I46-1</f>
        <v>2.2396204116558183E-2</v>
      </c>
      <c r="J46" s="7">
        <f>'04 Prices'!J47/'04 Prices'!J46-1</f>
        <v>-9.4475730849015171E-3</v>
      </c>
      <c r="K46" s="7">
        <f>'04 Prices'!K47/'04 Prices'!K46-1</f>
        <v>3.8826385825321275E-2</v>
      </c>
      <c r="L46" s="7">
        <f>'04 Prices'!L47/'04 Prices'!L46-1</f>
        <v>1.9431281619456842E-2</v>
      </c>
    </row>
    <row r="47" spans="1:12" x14ac:dyDescent="0.3">
      <c r="A47" s="16">
        <f>'04 Prices'!A48</f>
        <v>43585</v>
      </c>
      <c r="B47" s="7">
        <f>'04 Prices'!B48/'04 Prices'!B47-1</f>
        <v>8.2680198477625755E-2</v>
      </c>
      <c r="C47" s="7">
        <f>'04 Prices'!C48/'04 Prices'!C47-1</f>
        <v>8.1858745469136629E-2</v>
      </c>
      <c r="D47" s="7">
        <f>'04 Prices'!D48/'04 Prices'!D47-1</f>
        <v>0.20929923396260031</v>
      </c>
      <c r="E47" s="7">
        <f>'04 Prices'!E48/'04 Prices'!E47-1</f>
        <v>0.15517155165494612</v>
      </c>
      <c r="F47" s="7">
        <f>'04 Prices'!F48/'04 Prices'!F47-1</f>
        <v>8.0191162300016217E-3</v>
      </c>
      <c r="G47" s="7">
        <f>'04 Prices'!G48/'04 Prices'!G47-1</f>
        <v>-4.3795504317919343E-2</v>
      </c>
      <c r="H47" s="7">
        <f>'04 Prices'!H48/'04 Prices'!H47-1</f>
        <v>-3.538500650178078E-2</v>
      </c>
      <c r="I47" s="7">
        <f>'04 Prices'!I48/'04 Prices'!I47-1</f>
        <v>-6.4354654168302661E-3</v>
      </c>
      <c r="J47" s="7">
        <f>'04 Prices'!J48/'04 Prices'!J47-1</f>
        <v>5.4444449950277418E-2</v>
      </c>
      <c r="K47" s="7">
        <f>'04 Prices'!K48/'04 Prices'!K47-1</f>
        <v>-2.2844176057201571E-2</v>
      </c>
      <c r="L47" s="7">
        <f>'04 Prices'!L48/'04 Prices'!L47-1</f>
        <v>4.0489313938400606E-2</v>
      </c>
    </row>
    <row r="48" spans="1:12" x14ac:dyDescent="0.3">
      <c r="A48" s="16">
        <f>'04 Prices'!A49</f>
        <v>43616</v>
      </c>
      <c r="B48" s="7">
        <f>'04 Prices'!B49/'04 Prices'!B48-1</f>
        <v>-7.9623351459280345E-3</v>
      </c>
      <c r="C48" s="7">
        <f>'04 Prices'!C49/'04 Prices'!C48-1</f>
        <v>-7.8613196747440828E-2</v>
      </c>
      <c r="D48" s="7">
        <f>'04 Prices'!D49/'04 Prices'!D48-1</f>
        <v>-8.8995088874124106E-2</v>
      </c>
      <c r="E48" s="7">
        <f>'04 Prices'!E49/'04 Prices'!E48-1</f>
        <v>-8.6945583636687696E-2</v>
      </c>
      <c r="F48" s="7">
        <f>'04 Prices'!F49/'04 Prices'!F48-1</f>
        <v>-0.25074786960112172</v>
      </c>
      <c r="G48" s="7">
        <f>'04 Prices'!G49/'04 Prices'!G48-1</f>
        <v>3.1476331000885205E-2</v>
      </c>
      <c r="H48" s="7">
        <f>'04 Prices'!H49/'04 Prices'!H48-1</f>
        <v>4.8499038995571286E-2</v>
      </c>
      <c r="I48" s="7">
        <f>'04 Prices'!I49/'04 Prices'!I48-1</f>
        <v>-0.10835573378622199</v>
      </c>
      <c r="J48" s="7">
        <f>'04 Prices'!J49/'04 Prices'!J48-1</f>
        <v>-8.3733340684405411E-3</v>
      </c>
      <c r="K48" s="7">
        <f>'04 Prices'!K49/'04 Prices'!K48-1</f>
        <v>-4.9659037850547594E-2</v>
      </c>
      <c r="L48" s="7">
        <f>'04 Prices'!L49/'04 Prices'!L48-1</f>
        <v>-6.3548033502389911E-2</v>
      </c>
    </row>
    <row r="49" spans="1:12" x14ac:dyDescent="0.3">
      <c r="A49" s="16">
        <f>'04 Prices'!A50</f>
        <v>43646</v>
      </c>
      <c r="B49" s="7">
        <f>'04 Prices'!B50/'04 Prices'!B49-1</f>
        <v>0.10798982153517867</v>
      </c>
      <c r="C49" s="7">
        <f>'04 Prices'!C50/'04 Prices'!C49-1</f>
        <v>6.6791746549976327E-2</v>
      </c>
      <c r="D49" s="7">
        <f>'04 Prices'!D50/'04 Prices'!D49-1</f>
        <v>7.4579589262626422E-2</v>
      </c>
      <c r="E49" s="7">
        <f>'04 Prices'!E50/'04 Prices'!E49-1</f>
        <v>5.5115461320093484E-2</v>
      </c>
      <c r="F49" s="7">
        <f>'04 Prices'!F50/'04 Prices'!F49-1</f>
        <v>0.2123879547722054</v>
      </c>
      <c r="G49" s="7">
        <f>'04 Prices'!G50/'04 Prices'!G49-1</f>
        <v>4.3352557330939678E-2</v>
      </c>
      <c r="H49" s="7">
        <f>'04 Prices'!H50/'04 Prices'!H49-1</f>
        <v>7.656899134475581E-2</v>
      </c>
      <c r="I49" s="7">
        <f>'04 Prices'!I50/'04 Prices'!I49-1</f>
        <v>8.2803605540842096E-2</v>
      </c>
      <c r="J49" s="7">
        <f>'04 Prices'!J50/'04 Prices'!J49-1</f>
        <v>8.9215597387071632E-2</v>
      </c>
      <c r="K49" s="7">
        <f>'04 Prices'!K50/'04 Prices'!K49-1</f>
        <v>5.1149941694893952E-2</v>
      </c>
      <c r="L49" s="7">
        <f>'04 Prices'!L50/'04 Prices'!L49-1</f>
        <v>7.0476707806211625E-2</v>
      </c>
    </row>
    <row r="50" spans="1:12" x14ac:dyDescent="0.3">
      <c r="A50" s="16">
        <f>'04 Prices'!A51</f>
        <v>43677</v>
      </c>
      <c r="B50" s="7">
        <f>'04 Prices'!B51/'04 Prices'!B50-1</f>
        <v>2.6341758804544479E-3</v>
      </c>
      <c r="C50" s="7">
        <f>'04 Prices'!C51/'04 Prices'!C50-1</f>
        <v>-1.417918349378533E-2</v>
      </c>
      <c r="D50" s="7">
        <f>'04 Prices'!D51/'04 Prices'!D50-1</f>
        <v>-5.4521989187575115E-2</v>
      </c>
      <c r="E50" s="7">
        <f>'04 Prices'!E51/'04 Prices'!E50-1</f>
        <v>4.491257286465733E-2</v>
      </c>
      <c r="F50" s="7">
        <f>'04 Prices'!F51/'04 Prices'!F50-1</f>
        <v>2.733935981106006E-2</v>
      </c>
      <c r="G50" s="7">
        <f>'04 Prices'!G51/'04 Prices'!G50-1</f>
        <v>-0.10341668062836595</v>
      </c>
      <c r="H50" s="7">
        <f>'04 Prices'!H51/'04 Prices'!H50-1</f>
        <v>-2.4244198430573016E-3</v>
      </c>
      <c r="I50" s="7">
        <f>'04 Prices'!I51/'04 Prices'!I50-1</f>
        <v>-2.9623153841576766E-2</v>
      </c>
      <c r="J50" s="7">
        <f>'04 Prices'!J51/'04 Prices'!J50-1</f>
        <v>-9.9566377824977792E-4</v>
      </c>
      <c r="K50" s="7">
        <f>'04 Prices'!K51/'04 Prices'!K50-1</f>
        <v>-2.2374110585629547E-2</v>
      </c>
      <c r="L50" s="7">
        <f>'04 Prices'!L51/'04 Prices'!L50-1</f>
        <v>1.4373109106757598E-2</v>
      </c>
    </row>
    <row r="51" spans="1:12" x14ac:dyDescent="0.3">
      <c r="A51" s="16">
        <f>'04 Prices'!A52</f>
        <v>43708</v>
      </c>
      <c r="B51" s="7">
        <f>'04 Prices'!B52/'04 Prices'!B51-1</f>
        <v>3.2840721673097262E-2</v>
      </c>
      <c r="C51" s="7">
        <f>'04 Prices'!C52/'04 Prices'!C51-1</f>
        <v>-4.8473822696721736E-2</v>
      </c>
      <c r="D51" s="7">
        <f>'04 Prices'!D52/'04 Prices'!D51-1</f>
        <v>-3.777561144166075E-2</v>
      </c>
      <c r="E51" s="7">
        <f>'04 Prices'!E52/'04 Prices'!E51-1</f>
        <v>-5.2930755158324461E-2</v>
      </c>
      <c r="F51" s="7">
        <f>'04 Prices'!F52/'04 Prices'!F51-1</f>
        <v>-6.1887665001308934E-3</v>
      </c>
      <c r="G51" s="7">
        <f>'04 Prices'!G52/'04 Prices'!G51-1</f>
        <v>-7.6143435882933486E-2</v>
      </c>
      <c r="H51" s="7">
        <f>'04 Prices'!H52/'04 Prices'!H51-1</f>
        <v>0.24840541436677732</v>
      </c>
      <c r="I51" s="7">
        <f>'04 Prices'!I52/'04 Prices'!I51-1</f>
        <v>-6.7624001280926049E-2</v>
      </c>
      <c r="J51" s="7">
        <f>'04 Prices'!J52/'04 Prices'!J51-1</f>
        <v>4.024663800478856E-2</v>
      </c>
      <c r="K51" s="7">
        <f>'04 Prices'!K52/'04 Prices'!K51-1</f>
        <v>5.2289050046306684E-2</v>
      </c>
      <c r="L51" s="7">
        <f>'04 Prices'!L52/'04 Prices'!L51-1</f>
        <v>-1.5841356518758398E-2</v>
      </c>
    </row>
    <row r="52" spans="1:12" x14ac:dyDescent="0.3">
      <c r="A52" s="16">
        <f>'04 Prices'!A53</f>
        <v>43738</v>
      </c>
      <c r="B52" s="7">
        <f>'04 Prices'!B53/'04 Prices'!B52-1</f>
        <v>-7.8219425504814089E-2</v>
      </c>
      <c r="C52" s="7">
        <f>'04 Prices'!C53/'04 Prices'!C52-1</f>
        <v>-2.2732743159891489E-2</v>
      </c>
      <c r="D52" s="7">
        <f>'04 Prices'!D53/'04 Prices'!D52-1</f>
        <v>-1.0905256498214833E-3</v>
      </c>
      <c r="E52" s="7">
        <f>'04 Prices'!E53/'04 Prices'!E52-1</f>
        <v>7.1272377805203568E-2</v>
      </c>
      <c r="F52" s="7">
        <f>'04 Prices'!F53/'04 Prices'!F52-1</f>
        <v>3.916158527777247E-2</v>
      </c>
      <c r="G52" s="7">
        <f>'04 Prices'!G53/'04 Prices'!G52-1</f>
        <v>1.0689289272806546E-2</v>
      </c>
      <c r="H52" s="7">
        <f>'04 Prices'!H53/'04 Prices'!H52-1</f>
        <v>-1.2145167907583465E-3</v>
      </c>
      <c r="I52" s="7">
        <f>'04 Prices'!I53/'04 Prices'!I52-1</f>
        <v>3.1103953278693863E-2</v>
      </c>
      <c r="J52" s="7">
        <f>'04 Prices'!J53/'04 Prices'!J52-1</f>
        <v>3.8683785910172519E-2</v>
      </c>
      <c r="K52" s="7">
        <f>'04 Prices'!K53/'04 Prices'!K52-1</f>
        <v>3.7826658986492179E-2</v>
      </c>
      <c r="L52" s="7">
        <f>'04 Prices'!L53/'04 Prices'!L52-1</f>
        <v>1.8710674837268071E-2</v>
      </c>
    </row>
    <row r="53" spans="1:12" x14ac:dyDescent="0.3">
      <c r="A53" s="16">
        <f>'04 Prices'!A54</f>
        <v>43769</v>
      </c>
      <c r="B53" s="7">
        <f>'04 Prices'!B54/'04 Prices'!B53-1</f>
        <v>0.17040360721301773</v>
      </c>
      <c r="C53" s="7">
        <f>'04 Prices'!C54/'04 Prices'!C53-1</f>
        <v>2.3474701268864528E-2</v>
      </c>
      <c r="D53" s="7">
        <f>'04 Prices'!D54/'04 Prices'!D53-1</f>
        <v>-4.6836884774207665E-2</v>
      </c>
      <c r="E53" s="7">
        <f>'04 Prices'!E54/'04 Prices'!E53-1</f>
        <v>6.9935367773724222E-2</v>
      </c>
      <c r="F53" s="7">
        <f>'04 Prices'!F54/'04 Prices'!F53-1</f>
        <v>0.15482302545900994</v>
      </c>
      <c r="G53" s="7">
        <f>'04 Prices'!G54/'04 Prices'!G53-1</f>
        <v>6.7909904539527499E-2</v>
      </c>
      <c r="H53" s="7">
        <f>'04 Prices'!H54/'04 Prices'!H53-1</f>
        <v>0</v>
      </c>
      <c r="I53" s="7">
        <f>'04 Prices'!I54/'04 Prices'!I53-1</f>
        <v>-4.3053522126056842E-2</v>
      </c>
      <c r="J53" s="7">
        <f>'04 Prices'!J54/'04 Prices'!J53-1</f>
        <v>-1.1965069632222214E-2</v>
      </c>
      <c r="K53" s="7">
        <f>'04 Prices'!K54/'04 Prices'!K53-1</f>
        <v>1.2246318565714676E-2</v>
      </c>
      <c r="L53" s="7">
        <f>'04 Prices'!L54/'04 Prices'!L53-1</f>
        <v>2.1659014861094006E-2</v>
      </c>
    </row>
    <row r="54" spans="1:12" x14ac:dyDescent="0.3">
      <c r="A54" s="16">
        <f>'04 Prices'!A55</f>
        <v>43799</v>
      </c>
      <c r="B54" s="7">
        <f>'04 Prices'!B55/'04 Prices'!B54-1</f>
        <v>0.15384618843932074</v>
      </c>
      <c r="C54" s="7">
        <f>'04 Prices'!C55/'04 Prices'!C54-1</f>
        <v>1.3587301227158566E-2</v>
      </c>
      <c r="D54" s="7">
        <f>'04 Prices'!D55/'04 Prices'!D54-1</f>
        <v>5.471506191755382E-2</v>
      </c>
      <c r="E54" s="7">
        <f>'04 Prices'!E55/'04 Prices'!E54-1</f>
        <v>5.475500721065929E-2</v>
      </c>
      <c r="F54" s="7">
        <f>'04 Prices'!F55/'04 Prices'!F54-1</f>
        <v>7.8996909798263237E-2</v>
      </c>
      <c r="G54" s="7">
        <f>'04 Prices'!G55/'04 Prices'!G54-1</f>
        <v>1.361153591753328E-2</v>
      </c>
      <c r="H54" s="7">
        <f>'04 Prices'!H55/'04 Prices'!H54-1</f>
        <v>0.17623503676193963</v>
      </c>
      <c r="I54" s="7">
        <f>'04 Prices'!I55/'04 Prices'!I54-1</f>
        <v>2.0447500354680237E-2</v>
      </c>
      <c r="J54" s="7">
        <f>'04 Prices'!J55/'04 Prices'!J54-1</f>
        <v>1.5606289538205198E-2</v>
      </c>
      <c r="K54" s="7">
        <f>'04 Prices'!K55/'04 Prices'!K54-1</f>
        <v>-3.8034947205093372E-3</v>
      </c>
      <c r="L54" s="7">
        <f>'04 Prices'!L55/'04 Prices'!L54-1</f>
        <v>3.6299051893293965E-2</v>
      </c>
    </row>
    <row r="55" spans="1:12" x14ac:dyDescent="0.3">
      <c r="A55" s="16">
        <f>'04 Prices'!A56</f>
        <v>43830</v>
      </c>
      <c r="B55" s="7">
        <f>'04 Prices'!B56/'04 Prices'!B55-1</f>
        <v>0.17139205167235927</v>
      </c>
      <c r="C55" s="7">
        <f>'04 Prices'!C56/'04 Prices'!C55-1</f>
        <v>2.6121694264610973E-2</v>
      </c>
      <c r="D55" s="7">
        <f>'04 Prices'!D56/'04 Prices'!D55-1</f>
        <v>2.6490081694412693E-2</v>
      </c>
      <c r="E55" s="7">
        <f>'04 Prices'!E56/'04 Prices'!E55-1</f>
        <v>5.7984023577020594E-2</v>
      </c>
      <c r="F55" s="7">
        <f>'04 Prices'!F56/'04 Prices'!F55-1</f>
        <v>8.5632220366488765E-2</v>
      </c>
      <c r="G55" s="7">
        <f>'04 Prices'!G56/'04 Prices'!G55-1</f>
        <v>1.7133547005551142E-2</v>
      </c>
      <c r="H55" s="7">
        <f>'04 Prices'!H56/'04 Prices'!H55-1</f>
        <v>2.5597909112143657E-2</v>
      </c>
      <c r="I55" s="7">
        <f>'04 Prices'!I56/'04 Prices'!I55-1</f>
        <v>2.4218534283428461E-2</v>
      </c>
      <c r="J55" s="7">
        <f>'04 Prices'!J56/'04 Prices'!J55-1</f>
        <v>2.3766362160915211E-3</v>
      </c>
      <c r="K55" s="7">
        <f>'04 Prices'!K56/'04 Prices'!K55-1</f>
        <v>1.9256335838352845E-2</v>
      </c>
      <c r="L55" s="7">
        <f>'04 Prices'!L56/'04 Prices'!L55-1</f>
        <v>3.0182811112618335E-2</v>
      </c>
    </row>
    <row r="56" spans="1:12" x14ac:dyDescent="0.3">
      <c r="A56" s="16">
        <f>'04 Prices'!A57</f>
        <v>43861</v>
      </c>
      <c r="B56" s="7">
        <f>'04 Prices'!B57/'04 Prices'!B56-1</f>
        <v>2.4858250641659918E-2</v>
      </c>
      <c r="C56" s="7">
        <f>'04 Prices'!C57/'04 Prices'!C56-1</f>
        <v>8.7063802783704736E-2</v>
      </c>
      <c r="D56" s="7">
        <f>'04 Prices'!D57/'04 Prices'!D56-1</f>
        <v>-3.5483962259534207E-2</v>
      </c>
      <c r="E56" s="7">
        <f>'04 Prices'!E57/'04 Prices'!E56-1</f>
        <v>-4.4406343417197514E-2</v>
      </c>
      <c r="F56" s="7">
        <f>'04 Prices'!F57/'04 Prices'!F56-1</f>
        <v>4.802430629072596E-3</v>
      </c>
      <c r="G56" s="7">
        <f>'04 Prices'!G57/'04 Prices'!G56-1</f>
        <v>-3.9805458229367985E-2</v>
      </c>
      <c r="H56" s="7">
        <f>'04 Prices'!H57/'04 Prices'!H56-1</f>
        <v>-0.13626089740989122</v>
      </c>
      <c r="I56" s="7">
        <f>'04 Prices'!I57/'04 Prices'!I56-1</f>
        <v>-0.10977354752423873</v>
      </c>
      <c r="J56" s="7">
        <f>'04 Prices'!J57/'04 Prices'!J56-1</f>
        <v>-3.6603563704087128E-2</v>
      </c>
      <c r="K56" s="7">
        <f>'04 Prices'!K57/'04 Prices'!K56-1</f>
        <v>-2.1847118141224531E-2</v>
      </c>
      <c r="L56" s="7">
        <f>'04 Prices'!L57/'04 Prices'!L56-1</f>
        <v>-3.9212586253412063E-4</v>
      </c>
    </row>
    <row r="57" spans="1:12" x14ac:dyDescent="0.3">
      <c r="A57" s="16">
        <f>'04 Prices'!A58</f>
        <v>43890</v>
      </c>
      <c r="B57" s="7">
        <f>'04 Prices'!B58/'04 Prices'!B57-1</f>
        <v>-3.2340435272340429E-2</v>
      </c>
      <c r="C57" s="7">
        <f>'04 Prices'!C58/'04 Prices'!C57-1</f>
        <v>-6.2213720131041095E-2</v>
      </c>
      <c r="D57" s="7">
        <f>'04 Prices'!D58/'04 Prices'!D57-1</f>
        <v>-0.21088435374163339</v>
      </c>
      <c r="E57" s="7">
        <f>'04 Prices'!E58/'04 Prices'!E57-1</f>
        <v>-0.12277117992084607</v>
      </c>
      <c r="F57" s="7">
        <f>'04 Prices'!F58/'04 Prices'!F57-1</f>
        <v>0.14296643400643783</v>
      </c>
      <c r="G57" s="7">
        <f>'04 Prices'!G58/'04 Prices'!G57-1</f>
        <v>-0.10257792392762988</v>
      </c>
      <c r="H57" s="7">
        <f>'04 Prices'!H58/'04 Prices'!H57-1</f>
        <v>-6.4599713057867492E-2</v>
      </c>
      <c r="I57" s="7">
        <f>'04 Prices'!I58/'04 Prices'!I57-1</f>
        <v>-0.16003701824061611</v>
      </c>
      <c r="J57" s="7">
        <f>'04 Prices'!J58/'04 Prices'!J57-1</f>
        <v>-5.9481364744487508E-2</v>
      </c>
      <c r="K57" s="7">
        <f>'04 Prices'!K58/'04 Prices'!K57-1</f>
        <v>-8.8829042757012533E-2</v>
      </c>
      <c r="L57" s="7">
        <f>'04 Prices'!L58/'04 Prices'!L57-1</f>
        <v>-8.2318732946115136E-2</v>
      </c>
    </row>
    <row r="58" spans="1:12" x14ac:dyDescent="0.3">
      <c r="A58" s="16">
        <f>'04 Prices'!A59</f>
        <v>43921</v>
      </c>
      <c r="B58" s="7">
        <f>'04 Prices'!B59/'04 Prices'!B58-1</f>
        <v>0</v>
      </c>
      <c r="C58" s="7">
        <f>'04 Prices'!C59/'04 Prices'!C58-1</f>
        <v>3.5020571317849969E-2</v>
      </c>
      <c r="D58" s="7">
        <f>'04 Prices'!D59/'04 Prices'!D58-1</f>
        <v>-0.3060345761834159</v>
      </c>
      <c r="E58" s="7">
        <f>'04 Prices'!E59/'04 Prices'!E58-1</f>
        <v>-0.22461461988749987</v>
      </c>
      <c r="F58" s="7">
        <f>'04 Prices'!F59/'04 Prices'!F58-1</f>
        <v>-2.395654172719619E-2</v>
      </c>
      <c r="G58" s="7">
        <f>'04 Prices'!G59/'04 Prices'!G58-1</f>
        <v>-2.3339195619123565E-2</v>
      </c>
      <c r="H58" s="7">
        <f>'04 Prices'!H59/'04 Prices'!H58-1</f>
        <v>-9.7378858916241651E-2</v>
      </c>
      <c r="I58" s="7">
        <f>'04 Prices'!I59/'04 Prices'!I58-1</f>
        <v>-0.26185863966664802</v>
      </c>
      <c r="J58" s="7">
        <f>'04 Prices'!J59/'04 Prices'!J58-1</f>
        <v>5.9832660867610299E-2</v>
      </c>
      <c r="K58" s="7">
        <f>'04 Prices'!K59/'04 Prices'!K58-1</f>
        <v>-7.9392230454335966E-3</v>
      </c>
      <c r="L58" s="7">
        <f>'04 Prices'!L59/'04 Prices'!L58-1</f>
        <v>-0.12351349571125425</v>
      </c>
    </row>
    <row r="59" spans="1:12" x14ac:dyDescent="0.3">
      <c r="A59" s="16">
        <f>'04 Prices'!A60</f>
        <v>43951</v>
      </c>
      <c r="B59" s="7">
        <f>'04 Prices'!B60/'04 Prices'!B59-1</f>
        <v>0.15193491462083997</v>
      </c>
      <c r="C59" s="7">
        <f>'04 Prices'!C60/'04 Prices'!C59-1</f>
        <v>0.26890011766404509</v>
      </c>
      <c r="D59" s="7">
        <f>'04 Prices'!D60/'04 Prices'!D59-1</f>
        <v>5.3830122805162528E-2</v>
      </c>
      <c r="E59" s="7">
        <f>'04 Prices'!E60/'04 Prices'!E59-1</f>
        <v>7.4698282372099856E-2</v>
      </c>
      <c r="F59" s="7">
        <f>'04 Prices'!F60/'04 Prices'!F59-1</f>
        <v>0.10880106939540135</v>
      </c>
      <c r="G59" s="7">
        <f>'04 Prices'!G60/'04 Prices'!G59-1</f>
        <v>0.17524472667923319</v>
      </c>
      <c r="H59" s="7">
        <f>'04 Prices'!H60/'04 Prices'!H59-1</f>
        <v>0.18038065654835722</v>
      </c>
      <c r="I59" s="7">
        <f>'04 Prices'!I60/'04 Prices'!I59-1</f>
        <v>0.22386101836187655</v>
      </c>
      <c r="J59" s="7">
        <f>'04 Prices'!J60/'04 Prices'!J59-1</f>
        <v>6.9794014911489732E-2</v>
      </c>
      <c r="K59" s="7">
        <f>'04 Prices'!K60/'04 Prices'!K59-1</f>
        <v>8.0733899567292156E-2</v>
      </c>
      <c r="L59" s="7">
        <f>'04 Prices'!L60/'04 Prices'!L59-1</f>
        <v>0.12819402479169995</v>
      </c>
    </row>
    <row r="60" spans="1:12" x14ac:dyDescent="0.3">
      <c r="A60" s="16">
        <f>'04 Prices'!A61</f>
        <v>43982</v>
      </c>
      <c r="B60" s="7">
        <f>'04 Prices'!B61/'04 Prices'!B60-1</f>
        <v>2.6913530519717899E-2</v>
      </c>
      <c r="C60" s="7">
        <f>'04 Prices'!C61/'04 Prices'!C60-1</f>
        <v>-1.2784941237022118E-2</v>
      </c>
      <c r="D60" s="7">
        <f>'04 Prices'!D61/'04 Prices'!D60-1</f>
        <v>0.121807834805429</v>
      </c>
      <c r="E60" s="7">
        <f>'04 Prices'!E61/'04 Prices'!E60-1</f>
        <v>1.6186250693733362E-2</v>
      </c>
      <c r="F60" s="7">
        <f>'04 Prices'!F61/'04 Prices'!F60-1</f>
        <v>0.21465723191698083</v>
      </c>
      <c r="G60" s="7">
        <f>'04 Prices'!G61/'04 Prices'!G60-1</f>
        <v>5.4902147242905652E-3</v>
      </c>
      <c r="H60" s="7">
        <f>'04 Prices'!H61/'04 Prices'!H60-1</f>
        <v>0.1206333991932429</v>
      </c>
      <c r="I60" s="7">
        <f>'04 Prices'!I61/'04 Prices'!I60-1</f>
        <v>-2.5469979015779742E-3</v>
      </c>
      <c r="J60" s="7">
        <f>'04 Prices'!J61/'04 Prices'!J60-1</f>
        <v>2.5139383513451019E-2</v>
      </c>
      <c r="K60" s="7">
        <f>'04 Prices'!K61/'04 Prices'!K60-1</f>
        <v>-1.2183355617673142E-3</v>
      </c>
      <c r="L60" s="7">
        <f>'04 Prices'!L61/'04 Prices'!L60-1</f>
        <v>4.7627437378975568E-2</v>
      </c>
    </row>
    <row r="61" spans="1:12" x14ac:dyDescent="0.3">
      <c r="A61" s="16">
        <f>'04 Prices'!A62</f>
        <v>44012</v>
      </c>
      <c r="B61" s="7">
        <f>'04 Prices'!B62/'04 Prices'!B61-1</f>
        <v>-2.2118933895437509E-2</v>
      </c>
      <c r="C61" s="7">
        <f>'04 Prices'!C62/'04 Prices'!C61-1</f>
        <v>0.12956672853510542</v>
      </c>
      <c r="D61" s="7">
        <f>'04 Prices'!D62/'04 Prices'!D61-1</f>
        <v>6.4798346069124602E-2</v>
      </c>
      <c r="E61" s="7">
        <f>'04 Prices'!E62/'04 Prices'!E61-1</f>
        <v>-3.3398372750967464E-2</v>
      </c>
      <c r="F61" s="7">
        <f>'04 Prices'!F62/'04 Prices'!F61-1</f>
        <v>7.0596765173765563E-2</v>
      </c>
      <c r="G61" s="7">
        <f>'04 Prices'!G62/'04 Prices'!G61-1</f>
        <v>-0.14375493338488177</v>
      </c>
      <c r="H61" s="7">
        <f>'04 Prices'!H62/'04 Prices'!H61-1</f>
        <v>-1.961911028331198E-2</v>
      </c>
      <c r="I61" s="7">
        <f>'04 Prices'!I62/'04 Prices'!I61-1</f>
        <v>-1.6494317331316788E-2</v>
      </c>
      <c r="J61" s="7">
        <f>'04 Prices'!J62/'04 Prices'!J61-1</f>
        <v>-3.4499415512989851E-2</v>
      </c>
      <c r="K61" s="7">
        <f>'04 Prices'!K62/'04 Prices'!K61-1</f>
        <v>-3.9212035034702941E-2</v>
      </c>
      <c r="L61" s="7">
        <f>'04 Prices'!L62/'04 Prices'!L61-1</f>
        <v>1.9888188966065368E-2</v>
      </c>
    </row>
    <row r="62" spans="1:12" x14ac:dyDescent="0.3">
      <c r="A62" s="16">
        <f>'04 Prices'!A63</f>
        <v>44043</v>
      </c>
      <c r="B62" s="7">
        <f>'04 Prices'!B63/'04 Prices'!B62-1</f>
        <v>0.4717734158302509</v>
      </c>
      <c r="C62" s="7">
        <f>'04 Prices'!C63/'04 Prices'!C62-1</f>
        <v>0.14711362184550536</v>
      </c>
      <c r="D62" s="7">
        <f>'04 Prices'!D63/'04 Prices'!D62-1</f>
        <v>8.717097593889056E-2</v>
      </c>
      <c r="E62" s="7">
        <f>'04 Prices'!E63/'04 Prices'!E62-1</f>
        <v>3.7441044208808227E-2</v>
      </c>
      <c r="F62" s="7">
        <f>'04 Prices'!F63/'04 Prices'!F62-1</f>
        <v>0.1176067643768417</v>
      </c>
      <c r="G62" s="7">
        <f>'04 Prices'!G63/'04 Prices'!G62-1</f>
        <v>0.18825949933501551</v>
      </c>
      <c r="H62" s="7">
        <f>'04 Prices'!H63/'04 Prices'!H62-1</f>
        <v>4.961241109552339E-2</v>
      </c>
      <c r="I62" s="7">
        <f>'04 Prices'!I63/'04 Prices'!I62-1</f>
        <v>-5.9034180406266401E-2</v>
      </c>
      <c r="J62" s="7">
        <f>'04 Prices'!J63/'04 Prices'!J62-1</f>
        <v>8.0314116881064379E-2</v>
      </c>
      <c r="K62" s="7">
        <f>'04 Prices'!K63/'04 Prices'!K62-1</f>
        <v>5.4334787433379494E-2</v>
      </c>
      <c r="L62" s="7">
        <f>'04 Prices'!L63/'04 Prices'!L62-1</f>
        <v>5.6385193360928954E-2</v>
      </c>
    </row>
    <row r="63" spans="1:12" x14ac:dyDescent="0.3">
      <c r="A63" s="16">
        <f>'04 Prices'!A64</f>
        <v>44074</v>
      </c>
      <c r="B63" s="7">
        <f>'04 Prices'!B64/'04 Prices'!B63-1</f>
        <v>0.17293038017333928</v>
      </c>
      <c r="C63" s="7">
        <f>'04 Prices'!C64/'04 Prices'!C63-1</f>
        <v>9.0461033692397885E-2</v>
      </c>
      <c r="D63" s="7">
        <f>'04 Prices'!D64/'04 Prices'!D63-1</f>
        <v>3.1770396455437888E-2</v>
      </c>
      <c r="E63" s="7">
        <f>'04 Prices'!E64/'04 Prices'!E63-1</f>
        <v>3.6734338978563708E-2</v>
      </c>
      <c r="F63" s="7">
        <f>'04 Prices'!F64/'04 Prices'!F63-1</f>
        <v>0.25999244216626849</v>
      </c>
      <c r="G63" s="7">
        <f>'04 Prices'!G64/'04 Prices'!G63-1</f>
        <v>-1.7931193157588954E-2</v>
      </c>
      <c r="H63" s="7">
        <f>'04 Prices'!H64/'04 Prices'!H63-1</f>
        <v>0.20716139788399368</v>
      </c>
      <c r="I63" s="7">
        <f>'04 Prices'!I64/'04 Prices'!I63-1</f>
        <v>-3.2130927030938672E-2</v>
      </c>
      <c r="J63" s="7">
        <f>'04 Prices'!J64/'04 Prices'!J63-1</f>
        <v>7.7440625874093172E-2</v>
      </c>
      <c r="K63" s="7">
        <f>'04 Prices'!K64/'04 Prices'!K63-1</f>
        <v>3.1141406421677953E-2</v>
      </c>
      <c r="L63" s="7">
        <f>'04 Prices'!L64/'04 Prices'!L63-1</f>
        <v>7.1879799946431122E-2</v>
      </c>
    </row>
    <row r="64" spans="1:12" x14ac:dyDescent="0.3">
      <c r="A64" s="16">
        <f>'04 Prices'!A65</f>
        <v>44104</v>
      </c>
      <c r="B64" s="7">
        <f>'04 Prices'!B65/'04 Prices'!B64-1</f>
        <v>-9.7225301262642172E-2</v>
      </c>
      <c r="C64" s="7">
        <f>'04 Prices'!C65/'04 Prices'!C64-1</f>
        <v>-8.7578591850087095E-2</v>
      </c>
      <c r="D64" s="7">
        <f>'04 Prices'!D65/'04 Prices'!D64-1</f>
        <v>-2.3460820722848941E-2</v>
      </c>
      <c r="E64" s="7">
        <f>'04 Prices'!E65/'04 Prices'!E64-1</f>
        <v>-3.9125825545963666E-2</v>
      </c>
      <c r="F64" s="7">
        <f>'04 Prices'!F65/'04 Prices'!F64-1</f>
        <v>1.1966511836581706E-2</v>
      </c>
      <c r="G64" s="7">
        <f>'04 Prices'!G65/'04 Prices'!G64-1</f>
        <v>-2.8843845662030021E-2</v>
      </c>
      <c r="H64" s="7">
        <f>'04 Prices'!H65/'04 Prices'!H64-1</f>
        <v>4.1068832286613732E-2</v>
      </c>
      <c r="I64" s="7">
        <f>'04 Prices'!I65/'04 Prices'!I64-1</f>
        <v>-0.14046055434484828</v>
      </c>
      <c r="J64" s="7">
        <f>'04 Prices'!J65/'04 Prices'!J64-1</f>
        <v>7.6343713440438776E-3</v>
      </c>
      <c r="K64" s="7">
        <f>'04 Prices'!K65/'04 Prices'!K64-1</f>
        <v>3.7118444323522848E-3</v>
      </c>
      <c r="L64" s="7">
        <f>'04 Prices'!L65/'04 Prices'!L64-1</f>
        <v>-3.7997164998167854E-2</v>
      </c>
    </row>
    <row r="65" spans="1:12" x14ac:dyDescent="0.3">
      <c r="A65" s="16">
        <f>'04 Prices'!A66</f>
        <v>44135</v>
      </c>
      <c r="B65" s="7">
        <f>'04 Prices'!B66/'04 Prices'!B65-1</f>
        <v>-8.1717247504139334E-2</v>
      </c>
      <c r="C65" s="7">
        <f>'04 Prices'!C66/'04 Prices'!C65-1</f>
        <v>-3.5754085336875074E-2</v>
      </c>
      <c r="D65" s="7">
        <f>'04 Prices'!D66/'04 Prices'!D65-1</f>
        <v>0.16066082162224071</v>
      </c>
      <c r="E65" s="7">
        <f>'04 Prices'!E66/'04 Prices'!E65-1</f>
        <v>2.7835831310847547E-2</v>
      </c>
      <c r="F65" s="7">
        <f>'04 Prices'!F66/'04 Prices'!F65-1</f>
        <v>-7.3648339463191603E-2</v>
      </c>
      <c r="G65" s="7">
        <f>'04 Prices'!G66/'04 Prices'!G65-1</f>
        <v>-3.3242455329234089E-2</v>
      </c>
      <c r="H65" s="7">
        <f>'04 Prices'!H66/'04 Prices'!H65-1</f>
        <v>-3.3033077203278416E-2</v>
      </c>
      <c r="I65" s="7">
        <f>'04 Prices'!I66/'04 Prices'!I65-1</f>
        <v>-4.9810852057482258E-2</v>
      </c>
      <c r="J65" s="7">
        <f>'04 Prices'!J66/'04 Prices'!J65-1</f>
        <v>-8.2911093562162419E-3</v>
      </c>
      <c r="K65" s="7">
        <f>'04 Prices'!K66/'04 Prices'!K65-1</f>
        <v>-3.1824033962982501E-2</v>
      </c>
      <c r="L65" s="7">
        <f>'04 Prices'!L66/'04 Prices'!L65-1</f>
        <v>-2.6592680018526216E-2</v>
      </c>
    </row>
    <row r="66" spans="1:12" x14ac:dyDescent="0.3">
      <c r="A66" s="16">
        <f>'04 Prices'!A67</f>
        <v>44165</v>
      </c>
      <c r="B66" s="7">
        <f>'04 Prices'!B67/'04 Prices'!B66-1</f>
        <v>0.23070796301483409</v>
      </c>
      <c r="C66" s="7">
        <f>'04 Prices'!C67/'04 Prices'!C66-1</f>
        <v>4.3439868867591436E-2</v>
      </c>
      <c r="D66" s="7">
        <f>'04 Prices'!D67/'04 Prices'!D66-1</f>
        <v>0.17464448043573055</v>
      </c>
      <c r="E66" s="7">
        <f>'04 Prices'!E67/'04 Prices'!E66-1</f>
        <v>0.20236630579499759</v>
      </c>
      <c r="F66" s="7">
        <f>'04 Prices'!F67/'04 Prices'!F66-1</f>
        <v>6.9211518956571849E-2</v>
      </c>
      <c r="G66" s="7">
        <f>'04 Prices'!G67/'04 Prices'!G66-1</f>
        <v>0.14977467424201896</v>
      </c>
      <c r="H66" s="7">
        <f>'04 Prices'!H67/'04 Prices'!H66-1</f>
        <v>0.18428704722899858</v>
      </c>
      <c r="I66" s="7">
        <f>'04 Prices'!I67/'04 Prices'!I66-1</f>
        <v>0.19711684954275643</v>
      </c>
      <c r="J66" s="7">
        <f>'04 Prices'!J67/'04 Prices'!J66-1</f>
        <v>0.1011890527129562</v>
      </c>
      <c r="K66" s="7">
        <f>'04 Prices'!K67/'04 Prices'!K66-1</f>
        <v>6.0010483522406233E-2</v>
      </c>
      <c r="L66" s="7">
        <f>'04 Prices'!L67/'04 Prices'!L66-1</f>
        <v>0.10946365941042346</v>
      </c>
    </row>
    <row r="67" spans="1:12" x14ac:dyDescent="0.3">
      <c r="A67" s="16">
        <f>'04 Prices'!A68</f>
        <v>44196</v>
      </c>
      <c r="B67" s="7">
        <f>'04 Prices'!B68/'04 Prices'!B67-1</f>
        <v>-1.0252585150593685E-2</v>
      </c>
      <c r="C67" s="7">
        <f>'04 Prices'!C68/'04 Prices'!C67-1</f>
        <v>2.8058383013323418E-2</v>
      </c>
      <c r="D67" s="7">
        <f>'04 Prices'!D68/'04 Prices'!D67-1</f>
        <v>-3.1938766068778768E-2</v>
      </c>
      <c r="E67" s="7">
        <f>'04 Prices'!E68/'04 Prices'!E67-1</f>
        <v>7.796079045851867E-2</v>
      </c>
      <c r="F67" s="7">
        <f>'04 Prices'!F68/'04 Prices'!F67-1</f>
        <v>-2.5567393350599543E-2</v>
      </c>
      <c r="G67" s="7">
        <f>'04 Prices'!G68/'04 Prices'!G67-1</f>
        <v>-3.9154275557118146E-2</v>
      </c>
      <c r="H67" s="7">
        <f>'04 Prices'!H68/'04 Prices'!H67-1</f>
        <v>-1.6710372968433251E-2</v>
      </c>
      <c r="I67" s="7">
        <f>'04 Prices'!I68/'04 Prices'!I67-1</f>
        <v>8.1038624429520256E-2</v>
      </c>
      <c r="J67" s="7">
        <f>'04 Prices'!J68/'04 Prices'!J67-1</f>
        <v>-5.3099679015820134E-2</v>
      </c>
      <c r="K67" s="7">
        <f>'04 Prices'!K68/'04 Prices'!K67-1</f>
        <v>-2.7478804291094283E-2</v>
      </c>
      <c r="L67" s="7">
        <f>'04 Prices'!L68/'04 Prices'!L67-1</f>
        <v>3.8448571989156743E-2</v>
      </c>
    </row>
    <row r="68" spans="1:12" x14ac:dyDescent="0.3">
      <c r="A68" s="16">
        <f>'04 Prices'!A69</f>
        <v>44227</v>
      </c>
      <c r="B68" s="7">
        <f>'04 Prices'!B69/'04 Prices'!B68-1</f>
        <v>-6.6186890802465315E-2</v>
      </c>
      <c r="C68" s="7">
        <f>'04 Prices'!C69/'04 Prices'!C68-1</f>
        <v>-1.5576012233844638E-2</v>
      </c>
      <c r="D68" s="7">
        <f>'04 Prices'!D69/'04 Prices'!D68-1</f>
        <v>0.19795244691639158</v>
      </c>
      <c r="E68" s="7">
        <f>'04 Prices'!E69/'04 Prices'!E68-1</f>
        <v>1.988369510287491E-2</v>
      </c>
      <c r="F68" s="7">
        <f>'04 Prices'!F69/'04 Prices'!F68-1</f>
        <v>-4.9981264977494444E-3</v>
      </c>
      <c r="G68" s="7">
        <f>'04 Prices'!G69/'04 Prices'!G68-1</f>
        <v>-1.4111810602686625E-2</v>
      </c>
      <c r="H68" s="7">
        <f>'04 Prices'!H69/'04 Prices'!H68-1</f>
        <v>2.6284217317646963E-2</v>
      </c>
      <c r="I68" s="7">
        <f>'04 Prices'!I69/'04 Prices'!I68-1</f>
        <v>8.7821112617180841E-2</v>
      </c>
      <c r="J68" s="7">
        <f>'04 Prices'!J69/'04 Prices'!J68-1</f>
        <v>-2.5390027739931709E-2</v>
      </c>
      <c r="K68" s="7">
        <f>'04 Prices'!K69/'04 Prices'!K68-1</f>
        <v>-5.8108743133751473E-2</v>
      </c>
      <c r="L68" s="7">
        <f>'04 Prices'!L69/'04 Prices'!L68-1</f>
        <v>-1.009624917731522E-2</v>
      </c>
    </row>
    <row r="69" spans="1:12" x14ac:dyDescent="0.3">
      <c r="A69" s="16">
        <f>'04 Prices'!A70</f>
        <v>44255</v>
      </c>
      <c r="B69" s="7">
        <f>'04 Prices'!B70/'04 Prices'!B69-1</f>
        <v>-1.3194736822210062E-2</v>
      </c>
      <c r="C69" s="7">
        <f>'04 Prices'!C70/'04 Prices'!C69-1</f>
        <v>-3.5328413768552558E-2</v>
      </c>
      <c r="D69" s="7">
        <f>'04 Prices'!D70/'04 Prices'!D69-1</f>
        <v>0.11111128950071603</v>
      </c>
      <c r="E69" s="7">
        <f>'04 Prices'!E70/'04 Prices'!E69-1</f>
        <v>0.14377865967600378</v>
      </c>
      <c r="F69" s="7">
        <f>'04 Prices'!F70/'04 Prices'!F69-1</f>
        <v>5.5794130454113411E-2</v>
      </c>
      <c r="G69" s="7">
        <f>'04 Prices'!G70/'04 Prices'!G69-1</f>
        <v>-6.7130807539322879E-2</v>
      </c>
      <c r="H69" s="7">
        <f>'04 Prices'!H70/'04 Prices'!H69-1</f>
        <v>1.6139312188543142E-2</v>
      </c>
      <c r="I69" s="7">
        <f>'04 Prices'!I70/'04 Prices'!I69-1</f>
        <v>0.23312508686735134</v>
      </c>
      <c r="J69" s="7">
        <f>'04 Prices'!J70/'04 Prices'!J69-1</f>
        <v>-7.5236498179050981E-2</v>
      </c>
      <c r="K69" s="7">
        <f>'04 Prices'!K70/'04 Prices'!K69-1</f>
        <v>1.004580261500565E-2</v>
      </c>
      <c r="L69" s="7">
        <f>'04 Prices'!L70/'04 Prices'!L69-1</f>
        <v>2.7574537649725839E-2</v>
      </c>
    </row>
    <row r="70" spans="1:12" x14ac:dyDescent="0.3">
      <c r="A70" s="16">
        <f>'04 Prices'!A71</f>
        <v>44286</v>
      </c>
      <c r="B70" s="7">
        <f>'04 Prices'!B71/'04 Prices'!B70-1</f>
        <v>-7.1115867758635432E-2</v>
      </c>
      <c r="C70" s="7">
        <f>'04 Prices'!C71/'04 Prices'!C70-1</f>
        <v>3.7178414730409948E-4</v>
      </c>
      <c r="D70" s="7">
        <f>'04 Prices'!D71/'04 Prices'!D70-1</f>
        <v>4.7008318056814824E-2</v>
      </c>
      <c r="E70" s="7">
        <f>'04 Prices'!E71/'04 Prices'!E70-1</f>
        <v>3.4382057999254867E-2</v>
      </c>
      <c r="F70" s="7">
        <f>'04 Prices'!F71/'04 Prices'!F70-1</f>
        <v>-2.6369251009312866E-2</v>
      </c>
      <c r="G70" s="7">
        <f>'04 Prices'!G71/'04 Prices'!G70-1</f>
        <v>8.1815438425558051E-2</v>
      </c>
      <c r="H70" s="7">
        <f>'04 Prices'!H71/'04 Prices'!H70-1</f>
        <v>7.9753623905303606E-2</v>
      </c>
      <c r="I70" s="7">
        <f>'04 Prices'!I71/'04 Prices'!I70-1</f>
        <v>2.6852932782729377E-2</v>
      </c>
      <c r="J70" s="7">
        <f>'04 Prices'!J71/'04 Prices'!J70-1</f>
        <v>4.9854416392226319E-2</v>
      </c>
      <c r="K70" s="7">
        <f>'04 Prices'!K71/'04 Prices'!K70-1</f>
        <v>5.1537036856356355E-2</v>
      </c>
      <c r="L70" s="7">
        <f>'04 Prices'!L71/'04 Prices'!L70-1</f>
        <v>4.3795607343140919E-2</v>
      </c>
    </row>
    <row r="71" spans="1:12" x14ac:dyDescent="0.3">
      <c r="A71" s="16">
        <f>'04 Prices'!A72</f>
        <v>44316</v>
      </c>
      <c r="B71" s="7">
        <f>'04 Prices'!B72/'04 Prices'!B71-1</f>
        <v>3.9745257918471166E-2</v>
      </c>
      <c r="C71" s="7">
        <f>'04 Prices'!C72/'04 Prices'!C71-1</f>
        <v>0.12066273709379649</v>
      </c>
      <c r="D71" s="7">
        <f>'04 Prices'!D72/'04 Prices'!D71-1</f>
        <v>-5.7959049175069333E-2</v>
      </c>
      <c r="E71" s="7">
        <f>'04 Prices'!E72/'04 Prices'!E71-1</f>
        <v>1.633007062897418E-2</v>
      </c>
      <c r="F71" s="7">
        <f>'04 Prices'!F72/'04 Prices'!F71-1</f>
        <v>0.12445421195351103</v>
      </c>
      <c r="G71" s="7">
        <f>'04 Prices'!G72/'04 Prices'!G71-1</f>
        <v>6.6795427083422565E-2</v>
      </c>
      <c r="H71" s="7">
        <f>'04 Prices'!H72/'04 Prices'!H71-1</f>
        <v>4.6397765557708803E-2</v>
      </c>
      <c r="I71" s="7">
        <f>'04 Prices'!I72/'04 Prices'!I71-1</f>
        <v>2.5255327974350594E-2</v>
      </c>
      <c r="J71" s="7">
        <f>'04 Prices'!J72/'04 Prices'!J71-1</f>
        <v>3.0037696917060153E-2</v>
      </c>
      <c r="K71" s="7">
        <f>'04 Prices'!K72/'04 Prices'!K71-1</f>
        <v>4.500829470530654E-3</v>
      </c>
      <c r="L71" s="7">
        <f>'04 Prices'!L72/'04 Prices'!L71-1</f>
        <v>5.3369027112194045E-2</v>
      </c>
    </row>
    <row r="72" spans="1:12" x14ac:dyDescent="0.3">
      <c r="A72" s="16">
        <f>'04 Prices'!A73</f>
        <v>44347</v>
      </c>
      <c r="B72" s="7">
        <f>'04 Prices'!B73/'04 Prices'!B72-1</f>
        <v>-1.8867935109989187E-2</v>
      </c>
      <c r="C72" s="7">
        <f>'04 Prices'!C73/'04 Prices'!C72-1</f>
        <v>-7.0470255257089276E-2</v>
      </c>
      <c r="D72" s="7">
        <f>'04 Prices'!D73/'04 Prices'!D72-1</f>
        <v>0.25909877394339054</v>
      </c>
      <c r="E72" s="7">
        <f>'04 Prices'!E73/'04 Prices'!E72-1</f>
        <v>6.7810740569443473E-2</v>
      </c>
      <c r="F72" s="7">
        <f>'04 Prices'!F73/'04 Prices'!F72-1</f>
        <v>8.2281496214799521E-2</v>
      </c>
      <c r="G72" s="7">
        <f>'04 Prices'!G73/'04 Prices'!G72-1</f>
        <v>1.1943839834832826E-2</v>
      </c>
      <c r="H72" s="7">
        <f>'04 Prices'!H73/'04 Prices'!H72-1</f>
        <v>9.8413131996020642E-2</v>
      </c>
      <c r="I72" s="7">
        <f>'04 Prices'!I73/'04 Prices'!I72-1</f>
        <v>3.4597198880541358E-2</v>
      </c>
      <c r="J72" s="7">
        <f>'04 Prices'!J73/'04 Prices'!J72-1</f>
        <v>1.9139166547387898E-2</v>
      </c>
      <c r="K72" s="7">
        <f>'04 Prices'!K73/'04 Prices'!K72-1</f>
        <v>-2.2495064294611788E-2</v>
      </c>
      <c r="L72" s="7">
        <f>'04 Prices'!L73/'04 Prices'!L72-1</f>
        <v>6.9841272699200374E-3</v>
      </c>
    </row>
    <row r="73" spans="1:12" x14ac:dyDescent="0.3">
      <c r="A73" s="16">
        <f>'04 Prices'!A74</f>
        <v>44377</v>
      </c>
      <c r="B73" s="7">
        <f>'04 Prices'!B74/'04 Prices'!B73-1</f>
        <v>0.17295202494265149</v>
      </c>
      <c r="C73" s="7">
        <f>'04 Prices'!C74/'04 Prices'!C73-1</f>
        <v>6.7354987367824082E-2</v>
      </c>
      <c r="D73" s="7">
        <f>'04 Prices'!D74/'04 Prices'!D73-1</f>
        <v>2.2711522443636278E-2</v>
      </c>
      <c r="E73" s="7">
        <f>'04 Prices'!E74/'04 Prices'!E73-1</f>
        <v>-5.2971156072887493E-2</v>
      </c>
      <c r="F73" s="7">
        <f>'04 Prices'!F74/'04 Prices'!F73-1</f>
        <v>0.2316217815675139</v>
      </c>
      <c r="G73" s="7">
        <f>'04 Prices'!G74/'04 Prices'!G73-1</f>
        <v>1.1102389202059193E-2</v>
      </c>
      <c r="H73" s="7">
        <f>'04 Prices'!H74/'04 Prices'!H73-1</f>
        <v>6.5309389920732652E-2</v>
      </c>
      <c r="I73" s="7">
        <f>'04 Prices'!I74/'04 Prices'!I73-1</f>
        <v>8.069199599463639E-2</v>
      </c>
      <c r="J73" s="7">
        <f>'04 Prices'!J74/'04 Prices'!J73-1</f>
        <v>-7.1113822399135884E-3</v>
      </c>
      <c r="K73" s="7">
        <f>'04 Prices'!K74/'04 Prices'!K73-1</f>
        <v>-8.1430319929518546E-3</v>
      </c>
      <c r="L73" s="7">
        <f>'04 Prices'!L74/'04 Prices'!L73-1</f>
        <v>2.3345476895855199E-2</v>
      </c>
    </row>
    <row r="74" spans="1:12" x14ac:dyDescent="0.3">
      <c r="A74" s="16">
        <f>'04 Prices'!A75</f>
        <v>44408</v>
      </c>
      <c r="B74" s="7">
        <f>'04 Prices'!B75/'04 Prices'!B74-1</f>
        <v>0.13052275200643537</v>
      </c>
      <c r="C74" s="7">
        <f>'04 Prices'!C75/'04 Prices'!C74-1</f>
        <v>-3.2722282718329554E-2</v>
      </c>
      <c r="D74" s="7">
        <f>'04 Prices'!D75/'04 Prices'!D74-1</f>
        <v>-6.1238143797938571E-2</v>
      </c>
      <c r="E74" s="7">
        <f>'04 Prices'!E75/'04 Prices'!E74-1</f>
        <v>-1.8550644973861496E-2</v>
      </c>
      <c r="F74" s="7">
        <f>'04 Prices'!F75/'04 Prices'!F74-1</f>
        <v>-2.5172040764978254E-2</v>
      </c>
      <c r="G74" s="7">
        <f>'04 Prices'!G75/'04 Prices'!G74-1</f>
        <v>0.10310834186991946</v>
      </c>
      <c r="H74" s="7">
        <f>'04 Prices'!H75/'04 Prices'!H74-1</f>
        <v>7.9879101384426887E-2</v>
      </c>
      <c r="I74" s="7">
        <f>'04 Prices'!I75/'04 Prices'!I74-1</f>
        <v>-8.7349530008478893E-2</v>
      </c>
      <c r="J74" s="7">
        <f>'04 Prices'!J75/'04 Prices'!J74-1</f>
        <v>1.0849647891875591E-2</v>
      </c>
      <c r="K74" s="7">
        <f>'04 Prices'!K75/'04 Prices'!K74-1</f>
        <v>6.7219268608522675E-3</v>
      </c>
      <c r="L74" s="7">
        <f>'04 Prices'!L75/'04 Prices'!L74-1</f>
        <v>2.3754322593714461E-2</v>
      </c>
    </row>
    <row r="75" spans="1:12" x14ac:dyDescent="0.3">
      <c r="A75" s="16">
        <f>'04 Prices'!A76</f>
        <v>44439</v>
      </c>
      <c r="B75" s="7">
        <f>'04 Prices'!B76/'04 Prices'!B75-1</f>
        <v>4.265937165334277E-2</v>
      </c>
      <c r="C75" s="7">
        <f>'04 Prices'!C76/'04 Prices'!C75-1</f>
        <v>4.3034169499277963E-2</v>
      </c>
      <c r="D75" s="7">
        <f>'04 Prices'!D76/'04 Prices'!D75-1</f>
        <v>-6.5949582949850316E-2</v>
      </c>
      <c r="E75" s="7">
        <f>'04 Prices'!E76/'04 Prices'!E75-1</f>
        <v>5.3828014488267906E-2</v>
      </c>
      <c r="F75" s="7">
        <f>'04 Prices'!F76/'04 Prices'!F75-1</f>
        <v>0.1482102231168847</v>
      </c>
      <c r="G75" s="7">
        <f>'04 Prices'!G76/'04 Prices'!G75-1</f>
        <v>7.6150882351450067E-2</v>
      </c>
      <c r="H75" s="7">
        <f>'04 Prices'!H76/'04 Prices'!H75-1</f>
        <v>-5.0650718296880393E-2</v>
      </c>
      <c r="I75" s="7">
        <f>'04 Prices'!I76/'04 Prices'!I75-1</f>
        <v>-3.8644923753684335E-2</v>
      </c>
      <c r="J75" s="7">
        <f>'04 Prices'!J76/'04 Prices'!J75-1</f>
        <v>4.2756943008712689E-2</v>
      </c>
      <c r="K75" s="7">
        <f>'04 Prices'!K76/'04 Prices'!K75-1</f>
        <v>-1.3983385910200763E-2</v>
      </c>
      <c r="L75" s="7">
        <f>'04 Prices'!L76/'04 Prices'!L75-1</f>
        <v>3.0405650811684781E-2</v>
      </c>
    </row>
    <row r="76" spans="1:12" x14ac:dyDescent="0.3">
      <c r="A76" s="16">
        <f>'04 Prices'!A77</f>
        <v>44469</v>
      </c>
      <c r="B76" s="7">
        <f>'04 Prices'!B77/'04 Prices'!B76-1</f>
        <v>-7.0628609183187141E-2</v>
      </c>
      <c r="C76" s="7">
        <f>'04 Prices'!C77/'04 Prices'!C76-1</f>
        <v>-5.351810876568075E-2</v>
      </c>
      <c r="D76" s="7">
        <f>'04 Prices'!D77/'04 Prices'!D76-1</f>
        <v>8.6722947423617081E-2</v>
      </c>
      <c r="E76" s="7">
        <f>'04 Prices'!E77/'04 Prices'!E76-1</f>
        <v>2.3382099371686227E-2</v>
      </c>
      <c r="F76" s="7">
        <f>'04 Prices'!F77/'04 Prices'!F76-1</f>
        <v>-7.4558911124665506E-2</v>
      </c>
      <c r="G76" s="7">
        <f>'04 Prices'!G77/'04 Prices'!G76-1</f>
        <v>-6.6420643903562726E-2</v>
      </c>
      <c r="H76" s="7">
        <f>'04 Prices'!H77/'04 Prices'!H76-1</f>
        <v>-7.3730453240158145E-2</v>
      </c>
      <c r="I76" s="7">
        <f>'04 Prices'!I77/'04 Prices'!I76-1</f>
        <v>7.8869967697813292E-2</v>
      </c>
      <c r="J76" s="7">
        <f>'04 Prices'!J77/'04 Prices'!J76-1</f>
        <v>-5.8879146760805412E-2</v>
      </c>
      <c r="K76" s="7">
        <f>'04 Prices'!K77/'04 Prices'!K76-1</f>
        <v>-1.8000083916809628E-2</v>
      </c>
      <c r="L76" s="7">
        <f>'04 Prices'!L77/'04 Prices'!L76-1</f>
        <v>-4.6509384175115631E-2</v>
      </c>
    </row>
    <row r="77" spans="1:12" x14ac:dyDescent="0.3">
      <c r="A77" s="16">
        <f>'04 Prices'!A78</f>
        <v>44500</v>
      </c>
      <c r="B77" s="7">
        <f>'04 Prices'!B78/'04 Prices'!B77-1</f>
        <v>0.16841595310007063</v>
      </c>
      <c r="C77" s="7">
        <f>'04 Prices'!C78/'04 Prices'!C77-1</f>
        <v>2.6602457597083129E-2</v>
      </c>
      <c r="D77" s="7">
        <f>'04 Prices'!D78/'04 Prices'!D77-1</f>
        <v>0.20621445603440258</v>
      </c>
      <c r="E77" s="7">
        <f>'04 Prices'!E78/'04 Prices'!E77-1</f>
        <v>4.4130993463758816E-2</v>
      </c>
      <c r="F77" s="7">
        <f>'04 Prices'!F78/'04 Prices'!F77-1</f>
        <v>0.23416685778283242</v>
      </c>
      <c r="G77" s="7">
        <f>'04 Prices'!G78/'04 Prices'!G77-1</f>
        <v>1.6972824319012814E-2</v>
      </c>
      <c r="H77" s="7">
        <f>'04 Prices'!H78/'04 Prices'!H77-1</f>
        <v>0.13485124468973742</v>
      </c>
      <c r="I77" s="7">
        <f>'04 Prices'!I78/'04 Prices'!I77-1</f>
        <v>9.6055942430507413E-2</v>
      </c>
      <c r="J77" s="7">
        <f>'04 Prices'!J78/'04 Prices'!J77-1</f>
        <v>7.2033085721793011E-2</v>
      </c>
      <c r="K77" s="7">
        <f>'04 Prices'!K78/'04 Prices'!K77-1</f>
        <v>-7.2337084348017555E-3</v>
      </c>
      <c r="L77" s="7">
        <f>'04 Prices'!L78/'04 Prices'!L77-1</f>
        <v>7.0061296061939116E-2</v>
      </c>
    </row>
    <row r="78" spans="1:12" x14ac:dyDescent="0.3">
      <c r="A78" s="16">
        <f>'04 Prices'!A79</f>
        <v>44530</v>
      </c>
      <c r="B78" s="7">
        <f>'04 Prices'!B79/'04 Prices'!B78-1</f>
        <v>0.31722524074752445</v>
      </c>
      <c r="C78" s="7">
        <f>'04 Prices'!C79/'04 Prices'!C78-1</f>
        <v>3.99237013071152E-2</v>
      </c>
      <c r="D78" s="7">
        <f>'04 Prices'!D79/'04 Prices'!D78-1</f>
        <v>0.12919338620209886</v>
      </c>
      <c r="E78" s="7">
        <f>'04 Prices'!E79/'04 Prices'!E78-1</f>
        <v>-6.5100918783219996E-2</v>
      </c>
      <c r="F78" s="7">
        <f>'04 Prices'!F79/'04 Prices'!F78-1</f>
        <v>0.2780538553015488</v>
      </c>
      <c r="G78" s="7">
        <f>'04 Prices'!G79/'04 Prices'!G78-1</f>
        <v>0.23917753172908141</v>
      </c>
      <c r="H78" s="7">
        <f>'04 Prices'!H79/'04 Prices'!H78-1</f>
        <v>-5.757214022307966E-2</v>
      </c>
      <c r="I78" s="7">
        <f>'04 Prices'!I79/'04 Prices'!I78-1</f>
        <v>-5.9342271359870136E-2</v>
      </c>
      <c r="J78" s="7">
        <f>'04 Prices'!J79/'04 Prices'!J78-1</f>
        <v>-5.8827419024394256E-2</v>
      </c>
      <c r="K78" s="7">
        <f>'04 Prices'!K79/'04 Prices'!K78-1</f>
        <v>-5.1330582699671945E-2</v>
      </c>
      <c r="L78" s="7">
        <f>'04 Prices'!L79/'04 Prices'!L78-1</f>
        <v>-6.9287602911844992E-3</v>
      </c>
    </row>
    <row r="79" spans="1:12" x14ac:dyDescent="0.3">
      <c r="A79" s="16">
        <f>'04 Prices'!A80</f>
        <v>44561</v>
      </c>
      <c r="B79" s="7">
        <f>'04 Prices'!B80/'04 Prices'!B79-1</f>
        <v>-9.1368325233008307E-2</v>
      </c>
      <c r="C79" s="7">
        <f>'04 Prices'!C80/'04 Prices'!C79-1</f>
        <v>-4.9251968788611378E-2</v>
      </c>
      <c r="D79" s="7">
        <f>'04 Prices'!D80/'04 Prices'!D79-1</f>
        <v>8.2334655459786577E-2</v>
      </c>
      <c r="E79" s="7">
        <f>'04 Prices'!E80/'04 Prices'!E79-1</f>
        <v>-3.0223826006579024E-3</v>
      </c>
      <c r="F79" s="7">
        <f>'04 Prices'!F80/'04 Prices'!F79-1</f>
        <v>-9.9810172166143407E-2</v>
      </c>
      <c r="G79" s="7">
        <f>'04 Prices'!G80/'04 Prices'!G79-1</f>
        <v>9.9013390032482329E-2</v>
      </c>
      <c r="H79" s="7">
        <f>'04 Prices'!H80/'04 Prices'!H79-1</f>
        <v>-5.0853001112346585E-2</v>
      </c>
      <c r="I79" s="7">
        <f>'04 Prices'!I80/'04 Prices'!I79-1</f>
        <v>2.2560291934841992E-2</v>
      </c>
      <c r="J79" s="7">
        <f>'04 Prices'!J80/'04 Prices'!J79-1</f>
        <v>3.3012720917191096E-2</v>
      </c>
      <c r="K79" s="7">
        <f>'04 Prices'!K80/'04 Prices'!K79-1</f>
        <v>3.3618887321530844E-2</v>
      </c>
      <c r="L79" s="7">
        <f>'04 Prices'!L80/'04 Prices'!L79-1</f>
        <v>4.4816418107445744E-2</v>
      </c>
    </row>
    <row r="80" spans="1:12" x14ac:dyDescent="0.3">
      <c r="A80" s="16">
        <f>'04 Prices'!A81</f>
        <v>44592</v>
      </c>
      <c r="B80" s="7">
        <f>'04 Prices'!B81/'04 Prices'!B80-1</f>
        <v>-0.20604583150593303</v>
      </c>
      <c r="C80" s="7">
        <f>'04 Prices'!C81/'04 Prices'!C80-1</f>
        <v>-0.10282991021655374</v>
      </c>
      <c r="D80" s="7">
        <f>'04 Prices'!D81/'04 Prices'!D80-1</f>
        <v>-1.7603639142885541E-2</v>
      </c>
      <c r="E80" s="7">
        <f>'04 Prices'!E81/'04 Prices'!E80-1</f>
        <v>-5.5947247118806498E-2</v>
      </c>
      <c r="F80" s="7">
        <f>'04 Prices'!F81/'04 Prices'!F80-1</f>
        <v>-0.16745448038441502</v>
      </c>
      <c r="G80" s="7">
        <f>'04 Prices'!G81/'04 Prices'!G80-1</f>
        <v>-0.1009209102518982</v>
      </c>
      <c r="H80" s="7">
        <f>'04 Prices'!H81/'04 Prices'!H80-1</f>
        <v>-4.7571846166882037E-2</v>
      </c>
      <c r="I80" s="7">
        <f>'04 Prices'!I81/'04 Prices'!I80-1</f>
        <v>0.24137903736665112</v>
      </c>
      <c r="J80" s="7">
        <f>'04 Prices'!J81/'04 Prices'!J80-1</f>
        <v>-3.3727342568527052E-2</v>
      </c>
      <c r="K80" s="7">
        <f>'04 Prices'!K81/'04 Prices'!K80-1</f>
        <v>3.678431727191489E-2</v>
      </c>
      <c r="L80" s="7">
        <f>'04 Prices'!L81/'04 Prices'!L80-1</f>
        <v>-5.1746849642356652E-2</v>
      </c>
    </row>
    <row r="81" spans="1:12" x14ac:dyDescent="0.3">
      <c r="A81" s="16">
        <f>'04 Prices'!A82</f>
        <v>44620</v>
      </c>
      <c r="B81" s="7">
        <f>'04 Prices'!B82/'04 Prices'!B81-1</f>
        <v>7.9562331185995649E-2</v>
      </c>
      <c r="C81" s="7">
        <f>'04 Prices'!C82/'04 Prices'!C81-1</f>
        <v>2.6672518264737599E-2</v>
      </c>
      <c r="D81" s="7">
        <f>'04 Prices'!D82/'04 Prices'!D81-1</f>
        <v>-0.13497537877004839</v>
      </c>
      <c r="E81" s="7">
        <f>'04 Prices'!E82/'04 Prices'!E81-1</f>
        <v>-4.5760333508201856E-2</v>
      </c>
      <c r="F81" s="7">
        <f>'04 Prices'!F82/'04 Prices'!F81-1</f>
        <v>-4.1247023478687694E-3</v>
      </c>
      <c r="G81" s="7">
        <f>'04 Prices'!G82/'04 Prices'!G81-1</f>
        <v>-0.10912901858513457</v>
      </c>
      <c r="H81" s="7">
        <f>'04 Prices'!H82/'04 Prices'!H81-1</f>
        <v>-8.9798164072902753E-2</v>
      </c>
      <c r="I81" s="7">
        <f>'04 Prices'!I82/'04 Prices'!I81-1</f>
        <v>4.3830709873820206E-2</v>
      </c>
      <c r="J81" s="7">
        <f>'04 Prices'!J82/'04 Prices'!J81-1</f>
        <v>-3.3259340756021438E-2</v>
      </c>
      <c r="K81" s="7">
        <f>'04 Prices'!K82/'04 Prices'!K81-1</f>
        <v>8.2659900292509914E-3</v>
      </c>
      <c r="L81" s="7">
        <f>'04 Prices'!L82/'04 Prices'!L81-1</f>
        <v>-2.9942154424650091E-2</v>
      </c>
    </row>
    <row r="82" spans="1:12" x14ac:dyDescent="0.3">
      <c r="A82" s="16">
        <f>'04 Prices'!A83</f>
        <v>44651</v>
      </c>
      <c r="B82" s="7">
        <f>'04 Prices'!B83/'04 Prices'!B82-1</f>
        <v>-0.11350738134963545</v>
      </c>
      <c r="C82" s="7">
        <f>'04 Prices'!C83/'04 Prices'!C82-1</f>
        <v>6.1437285032931221E-2</v>
      </c>
      <c r="D82" s="7">
        <f>'04 Prices'!D83/'04 Prices'!D82-1</f>
        <v>-3.7015994296468513E-2</v>
      </c>
      <c r="E82" s="7">
        <f>'04 Prices'!E83/'04 Prices'!E82-1</f>
        <v>-3.8646067895859448E-2</v>
      </c>
      <c r="F82" s="7">
        <f>'04 Prices'!F83/'04 Prices'!F82-1</f>
        <v>0.11915721732833684</v>
      </c>
      <c r="G82" s="7">
        <f>'04 Prices'!G83/'04 Prices'!G82-1</f>
        <v>0.10289755537424572</v>
      </c>
      <c r="H82" s="7">
        <f>'04 Prices'!H83/'04 Prices'!H82-1</f>
        <v>6.2321639983557775E-2</v>
      </c>
      <c r="I82" s="7">
        <f>'04 Prices'!I83/'04 Prices'!I82-1</f>
        <v>5.3174794695969307E-2</v>
      </c>
      <c r="J82" s="7">
        <f>'04 Prices'!J83/'04 Prices'!J82-1</f>
        <v>0.10606671884400476</v>
      </c>
      <c r="K82" s="7">
        <f>'04 Prices'!K83/'04 Prices'!K82-1</f>
        <v>-5.0866270421690674E-2</v>
      </c>
      <c r="L82" s="7">
        <f>'04 Prices'!L83/'04 Prices'!L82-1</f>
        <v>3.7129991432822251E-2</v>
      </c>
    </row>
    <row r="83" spans="1:12" x14ac:dyDescent="0.3">
      <c r="A83" s="16">
        <f>'04 Prices'!A84</f>
        <v>44681</v>
      </c>
      <c r="B83" s="7">
        <f>'04 Prices'!B84/'04 Prices'!B83-1</f>
        <v>-0.21785257447115536</v>
      </c>
      <c r="C83" s="7">
        <f>'04 Prices'!C84/'04 Prices'!C83-1</f>
        <v>-0.23752509313823067</v>
      </c>
      <c r="D83" s="7">
        <f>'04 Prices'!D84/'04 Prices'!D83-1</f>
        <v>-0.1570543222982218</v>
      </c>
      <c r="E83" s="7">
        <f>'04 Prices'!E84/'04 Prices'!E83-1</f>
        <v>-0.11792307063810337</v>
      </c>
      <c r="F83" s="7">
        <f>'04 Prices'!F84/'04 Prices'!F83-1</f>
        <v>-0.32027402796672721</v>
      </c>
      <c r="G83" s="7">
        <f>'04 Prices'!G84/'04 Prices'!G83-1</f>
        <v>-5.2153766232824417E-2</v>
      </c>
      <c r="H83" s="7">
        <f>'04 Prices'!H84/'04 Prices'!H83-1</f>
        <v>7.7419386573613691E-2</v>
      </c>
      <c r="I83" s="7">
        <f>'04 Prices'!I84/'04 Prices'!I83-1</f>
        <v>3.2207461345419297E-2</v>
      </c>
      <c r="J83" s="7">
        <f>'04 Prices'!J84/'04 Prices'!J83-1</f>
        <v>2.7330103510219139E-2</v>
      </c>
      <c r="K83" s="7">
        <f>'04 Prices'!K84/'04 Prices'!K83-1</f>
        <v>-8.0020271096879592E-2</v>
      </c>
      <c r="L83" s="7">
        <f>'04 Prices'!L84/'04 Prices'!L83-1</f>
        <v>-8.7201580875290285E-2</v>
      </c>
    </row>
    <row r="84" spans="1:12" x14ac:dyDescent="0.3">
      <c r="A84" s="16">
        <f>'04 Prices'!A85</f>
        <v>44712</v>
      </c>
      <c r="B84" s="7">
        <f>'04 Prices'!B85/'04 Prices'!B84-1</f>
        <v>0.19106647109788399</v>
      </c>
      <c r="C84" s="7">
        <f>'04 Prices'!C85/'04 Prices'!C84-1</f>
        <v>-3.2764317601631454E-2</v>
      </c>
      <c r="D84" s="7">
        <f>'04 Prices'!D85/'04 Prices'!D84-1</f>
        <v>-3.3898168852170008E-2</v>
      </c>
      <c r="E84" s="7">
        <f>'04 Prices'!E85/'04 Prices'!E84-1</f>
        <v>0.10782471567337382</v>
      </c>
      <c r="F84" s="7">
        <f>'04 Prices'!F85/'04 Prices'!F84-1</f>
        <v>6.7395595521506646E-3</v>
      </c>
      <c r="G84" s="7">
        <f>'04 Prices'!G85/'04 Prices'!G84-1</f>
        <v>8.9719393157576821E-2</v>
      </c>
      <c r="H84" s="7">
        <f>'04 Prices'!H85/'04 Prices'!H84-1</f>
        <v>-0.28910018362887979</v>
      </c>
      <c r="I84" s="7">
        <f>'04 Prices'!I85/'04 Prices'!I84-1</f>
        <v>0.13763461473086736</v>
      </c>
      <c r="J84" s="7">
        <f>'04 Prices'!J85/'04 Prices'!J84-1</f>
        <v>-0.1561698758656076</v>
      </c>
      <c r="K84" s="7">
        <f>'04 Prices'!K85/'04 Prices'!K84-1</f>
        <v>0.10777554687268576</v>
      </c>
      <c r="L84" s="7">
        <f>'04 Prices'!L85/'04 Prices'!L84-1</f>
        <v>1.8339496292967272E-3</v>
      </c>
    </row>
    <row r="85" spans="1:12" x14ac:dyDescent="0.3">
      <c r="A85" s="16">
        <f>'04 Prices'!A86</f>
        <v>44742</v>
      </c>
      <c r="B85" s="7">
        <f>'04 Prices'!B86/'04 Prices'!B85-1</f>
        <v>-0.24926368777978747</v>
      </c>
      <c r="C85" s="7">
        <f>'04 Prices'!C86/'04 Prices'!C85-1</f>
        <v>-0.11645921262760817</v>
      </c>
      <c r="D85" s="7">
        <f>'04 Prices'!D86/'04 Prices'!D85-1</f>
        <v>-0.18640373242750841</v>
      </c>
      <c r="E85" s="7">
        <f>'04 Prices'!E86/'04 Prices'!E85-1</f>
        <v>-0.14837765064752884</v>
      </c>
      <c r="F85" s="7">
        <f>'04 Prices'!F86/'04 Prices'!F85-1</f>
        <v>-0.18797107236213828</v>
      </c>
      <c r="G85" s="7">
        <f>'04 Prices'!G86/'04 Prices'!G85-1</f>
        <v>-1.1500697029887874E-2</v>
      </c>
      <c r="H85" s="7">
        <f>'04 Prices'!H86/'04 Prices'!H85-1</f>
        <v>-0.12756357205260993</v>
      </c>
      <c r="I85" s="7">
        <f>'04 Prices'!I86/'04 Prices'!I85-1</f>
        <v>-0.10791683270379582</v>
      </c>
      <c r="J85" s="7">
        <f>'04 Prices'!J86/'04 Prices'!J85-1</f>
        <v>-5.4808418462713226E-2</v>
      </c>
      <c r="K85" s="7">
        <f>'04 Prices'!K86/'04 Prices'!K85-1</f>
        <v>-1.0528378657306159E-2</v>
      </c>
      <c r="L85" s="7">
        <f>'04 Prices'!L86/'04 Prices'!L85-1</f>
        <v>-8.2543611073983114E-2</v>
      </c>
    </row>
    <row r="86" spans="1:12" x14ac:dyDescent="0.3">
      <c r="A86" s="16">
        <f>'04 Prices'!A87</f>
        <v>44773</v>
      </c>
      <c r="B86" s="7">
        <f>'04 Prices'!B87/'04 Prices'!B86-1</f>
        <v>0.23538642229192885</v>
      </c>
      <c r="C86" s="7">
        <f>'04 Prices'!C87/'04 Prices'!C86-1</f>
        <v>0.27059597130087476</v>
      </c>
      <c r="D86" s="7">
        <f>'04 Prices'!D87/'04 Prices'!D86-1</f>
        <v>0.31985629434944518</v>
      </c>
      <c r="E86" s="7">
        <f>'04 Prices'!E87/'04 Prices'!E86-1</f>
        <v>3.3482259517731316E-2</v>
      </c>
      <c r="F86" s="7">
        <f>'04 Prices'!F87/'04 Prices'!F86-1</f>
        <v>0.19816593026043305</v>
      </c>
      <c r="G86" s="7">
        <f>'04 Prices'!G87/'04 Prices'!G86-1</f>
        <v>-2.9144719611859382E-2</v>
      </c>
      <c r="H86" s="7">
        <f>'04 Prices'!H87/'04 Prices'!H86-1</f>
        <v>0.15683650636519508</v>
      </c>
      <c r="I86" s="7">
        <f>'04 Prices'!I87/'04 Prices'!I86-1</f>
        <v>0.13183101555237431</v>
      </c>
      <c r="J86" s="7">
        <f>'04 Prices'!J87/'04 Prices'!J86-1</f>
        <v>8.6116082105395897E-2</v>
      </c>
      <c r="K86" s="7">
        <f>'04 Prices'!K87/'04 Prices'!K86-1</f>
        <v>-7.840161152126035E-2</v>
      </c>
      <c r="L86" s="7">
        <f>'04 Prices'!L87/'04 Prices'!L86-1</f>
        <v>9.2204444018687992E-2</v>
      </c>
    </row>
    <row r="87" spans="1:12" x14ac:dyDescent="0.3">
      <c r="A87" s="16">
        <f>'04 Prices'!A88</f>
        <v>44804</v>
      </c>
      <c r="B87" s="7">
        <f>'04 Prices'!B88/'04 Prices'!B87-1</f>
        <v>-0.10161954430033904</v>
      </c>
      <c r="C87" s="7">
        <f>'04 Prices'!C88/'04 Prices'!C87-1</f>
        <v>-6.0615046239326675E-2</v>
      </c>
      <c r="D87" s="7">
        <f>'04 Prices'!D88/'04 Prices'!D87-1</f>
        <v>4.7787417714973079E-2</v>
      </c>
      <c r="E87" s="7">
        <f>'04 Prices'!E88/'04 Prices'!E87-1</f>
        <v>-1.4129670077877243E-2</v>
      </c>
      <c r="F87" s="7">
        <f>'04 Prices'!F88/'04 Prices'!F87-1</f>
        <v>-0.16896987917737816</v>
      </c>
      <c r="G87" s="7">
        <f>'04 Prices'!G88/'04 Prices'!G87-1</f>
        <v>-0.10453378866701635</v>
      </c>
      <c r="H87" s="7">
        <f>'04 Prices'!H88/'04 Prices'!H87-1</f>
        <v>-1.2455692184559441E-2</v>
      </c>
      <c r="I87" s="7">
        <f>'04 Prices'!I88/'04 Prices'!I87-1</f>
        <v>-4.2424663036866317E-3</v>
      </c>
      <c r="J87" s="7">
        <f>'04 Prices'!J88/'04 Prices'!J87-1</f>
        <v>8.1582577231968934E-3</v>
      </c>
      <c r="K87" s="7">
        <f>'04 Prices'!K88/'04 Prices'!K87-1</f>
        <v>-9.4825636787463585E-2</v>
      </c>
      <c r="L87" s="7">
        <f>'04 Prices'!L88/'04 Prices'!L87-1</f>
        <v>-4.0781360965277735E-2</v>
      </c>
    </row>
    <row r="88" spans="1:12" x14ac:dyDescent="0.3">
      <c r="A88" s="16">
        <f>'04 Prices'!A89</f>
        <v>44834</v>
      </c>
      <c r="B88" s="7">
        <f>'04 Prices'!B89/'04 Prices'!B88-1</f>
        <v>-0.25344646447606856</v>
      </c>
      <c r="C88" s="7">
        <f>'04 Prices'!C89/'04 Prices'!C88-1</f>
        <v>-0.10862189009737067</v>
      </c>
      <c r="D88" s="7">
        <f>'04 Prices'!D89/'04 Prices'!D88-1</f>
        <v>-0.2650918386577088</v>
      </c>
      <c r="E88" s="7">
        <f>'04 Prices'!E89/'04 Prices'!E88-1</f>
        <v>-8.1157069704550278E-2</v>
      </c>
      <c r="F88" s="7">
        <f>'04 Prices'!F89/'04 Prices'!F88-1</f>
        <v>-0.1955341786889826</v>
      </c>
      <c r="G88" s="7">
        <f>'04 Prices'!G89/'04 Prices'!G88-1</f>
        <v>-3.2500595617506178E-2</v>
      </c>
      <c r="H88" s="7">
        <f>'04 Prices'!H89/'04 Prices'!H88-1</f>
        <v>-7.4529168985387861E-2</v>
      </c>
      <c r="I88" s="7">
        <f>'04 Prices'!I89/'04 Prices'!I88-1</f>
        <v>-8.6619788729554337E-2</v>
      </c>
      <c r="J88" s="7">
        <f>'04 Prices'!J89/'04 Prices'!J88-1</f>
        <v>-2.1501354074038526E-2</v>
      </c>
      <c r="K88" s="7">
        <f>'04 Prices'!K89/'04 Prices'!K88-1</f>
        <v>-9.1844207693883795E-2</v>
      </c>
      <c r="L88" s="7">
        <f>'04 Prices'!L89/'04 Prices'!L88-1</f>
        <v>-9.2099487768085742E-2</v>
      </c>
    </row>
    <row r="89" spans="1:12" x14ac:dyDescent="0.3">
      <c r="A89" s="16">
        <f>'04 Prices'!A90</f>
        <v>44865</v>
      </c>
      <c r="B89" s="7">
        <f>'04 Prices'!B90/'04 Prices'!B89-1</f>
        <v>-5.2083320790851428E-2</v>
      </c>
      <c r="C89" s="7">
        <f>'04 Prices'!C90/'04 Prices'!C89-1</f>
        <v>-9.3451305831858344E-2</v>
      </c>
      <c r="D89" s="7">
        <f>'04 Prices'!D90/'04 Prices'!D89-1</f>
        <v>0.19375001836505734</v>
      </c>
      <c r="E89" s="7">
        <f>'04 Prices'!E90/'04 Prices'!E89-1</f>
        <v>0.21537046177515262</v>
      </c>
      <c r="F89" s="7">
        <f>'04 Prices'!F90/'04 Prices'!F89-1</f>
        <v>0.11187106082465781</v>
      </c>
      <c r="G89" s="7">
        <f>'04 Prices'!G90/'04 Prices'!G89-1</f>
        <v>6.3756693392387209E-2</v>
      </c>
      <c r="H89" s="7">
        <f>'04 Prices'!H90/'04 Prices'!H89-1</f>
        <v>0.1068805297663169</v>
      </c>
      <c r="I89" s="7">
        <f>'04 Prices'!I90/'04 Prices'!I89-1</f>
        <v>0.26915588756039832</v>
      </c>
      <c r="J89" s="7">
        <f>'04 Prices'!J90/'04 Prices'!J89-1</f>
        <v>9.7378593984243977E-2</v>
      </c>
      <c r="K89" s="7">
        <f>'04 Prices'!K90/'04 Prices'!K89-1</f>
        <v>7.8455630566476309E-4</v>
      </c>
      <c r="L89" s="7">
        <f>'04 Prices'!L90/'04 Prices'!L89-1</f>
        <v>8.0961293297370895E-2</v>
      </c>
    </row>
    <row r="90" spans="1:12" x14ac:dyDescent="0.3">
      <c r="A90" s="16">
        <f>'04 Prices'!A91</f>
        <v>44895</v>
      </c>
      <c r="B90" s="7">
        <f>'04 Prices'!B91/'04 Prices'!B90-1</f>
        <v>0.29254071725530872</v>
      </c>
      <c r="C90" s="7">
        <f>'04 Prices'!C91/'04 Prices'!C90-1</f>
        <v>-5.7594703093628796E-2</v>
      </c>
      <c r="D90" s="7">
        <f>'04 Prices'!D91/'04 Prices'!D90-1</f>
        <v>5.0508005458364424E-2</v>
      </c>
      <c r="E90" s="7">
        <f>'04 Prices'!E91/'04 Prices'!E90-1</f>
        <v>9.7712082508516485E-2</v>
      </c>
      <c r="F90" s="7">
        <f>'04 Prices'!F91/'04 Prices'!F90-1</f>
        <v>0.25415462806718292</v>
      </c>
      <c r="G90" s="7">
        <f>'04 Prices'!G91/'04 Prices'!G90-1</f>
        <v>8.6136544615587729E-2</v>
      </c>
      <c r="H90" s="7">
        <f>'04 Prices'!H91/'04 Prices'!H90-1</f>
        <v>2.354927282905761E-2</v>
      </c>
      <c r="I90" s="7">
        <f>'04 Prices'!I91/'04 Prices'!I90-1</f>
        <v>1.2871599461239391E-2</v>
      </c>
      <c r="J90" s="7">
        <f>'04 Prices'!J91/'04 Prices'!J90-1</f>
        <v>7.0891704171972769E-2</v>
      </c>
      <c r="K90" s="7">
        <f>'04 Prices'!K91/'04 Prices'!K90-1</f>
        <v>4.3082853276910082E-2</v>
      </c>
      <c r="L90" s="7">
        <f>'04 Prices'!L91/'04 Prices'!L90-1</f>
        <v>5.5884725537512336E-2</v>
      </c>
    </row>
    <row r="91" spans="1:12" x14ac:dyDescent="0.3">
      <c r="A91" s="16">
        <f>'04 Prices'!A92</f>
        <v>44926</v>
      </c>
      <c r="B91" s="7">
        <f>'04 Prices'!B92/'04 Prices'!B91-1</f>
        <v>-0.16565762031811448</v>
      </c>
      <c r="C91" s="7">
        <f>'04 Prices'!C92/'04 Prices'!C91-1</f>
        <v>-0.12989435256455062</v>
      </c>
      <c r="D91" s="7">
        <f>'04 Prices'!D92/'04 Prices'!D91-1</f>
        <v>-0.16330923700723221</v>
      </c>
      <c r="E91" s="7">
        <f>'04 Prices'!E92/'04 Prices'!E91-1</f>
        <v>-2.9526631154605631E-2</v>
      </c>
      <c r="F91" s="7">
        <f>'04 Prices'!F92/'04 Prices'!F91-1</f>
        <v>-0.13644148977709747</v>
      </c>
      <c r="G91" s="7">
        <f>'04 Prices'!G92/'04 Prices'!G91-1</f>
        <v>2.2142504936799812E-2</v>
      </c>
      <c r="H91" s="7">
        <f>'04 Prices'!H92/'04 Prices'!H91-1</f>
        <v>-0.1079192321742718</v>
      </c>
      <c r="I91" s="7">
        <f>'04 Prices'!I92/'04 Prices'!I91-1</f>
        <v>-9.3407732390855536E-3</v>
      </c>
      <c r="J91" s="7">
        <f>'04 Prices'!J92/'04 Prices'!J91-1</f>
        <v>-6.6234635294616928E-2</v>
      </c>
      <c r="K91" s="7">
        <f>'04 Prices'!K92/'04 Prices'!K91-1</f>
        <v>1.0774818113573836E-2</v>
      </c>
      <c r="L91" s="7">
        <f>'04 Prices'!L92/'04 Prices'!L91-1</f>
        <v>-5.7614655504724555E-2</v>
      </c>
    </row>
    <row r="92" spans="1:12" x14ac:dyDescent="0.3">
      <c r="A92" s="16">
        <f>'04 Prices'!A93</f>
        <v>44957</v>
      </c>
      <c r="B92" s="7">
        <f>'04 Prices'!B93/'04 Prices'!B92-1</f>
        <v>0.16025946303496963</v>
      </c>
      <c r="C92" s="7">
        <f>'04 Prices'!C93/'04 Prices'!C92-1</f>
        <v>0.22773806253571438</v>
      </c>
      <c r="D92" s="7">
        <f>'04 Prices'!D93/'04 Prices'!D92-1</f>
        <v>0.16165097788345806</v>
      </c>
      <c r="E92" s="7">
        <f>'04 Prices'!E93/'04 Prices'!E92-1</f>
        <v>5.1408231774718205E-2</v>
      </c>
      <c r="F92" s="7">
        <f>'04 Prices'!F93/'04 Prices'!F92-1</f>
        <v>0.33686911229001315</v>
      </c>
      <c r="G92" s="7">
        <f>'04 Prices'!G93/'04 Prices'!G92-1</f>
        <v>-0.13026152213296538</v>
      </c>
      <c r="H92" s="7">
        <f>'04 Prices'!H93/'04 Prices'!H92-1</f>
        <v>0.15499224252815669</v>
      </c>
      <c r="I92" s="7">
        <f>'04 Prices'!I93/'04 Prices'!I92-1</f>
        <v>5.1768068972238401E-2</v>
      </c>
      <c r="J92" s="7">
        <f>'04 Prices'!J93/'04 Prices'!J92-1</f>
        <v>1.4669483144415185E-2</v>
      </c>
      <c r="K92" s="7">
        <f>'04 Prices'!K93/'04 Prices'!K92-1</f>
        <v>7.1662685303642837E-2</v>
      </c>
      <c r="L92" s="7">
        <f>'04 Prices'!L93/'04 Prices'!L92-1</f>
        <v>6.283426331225006E-2</v>
      </c>
    </row>
    <row r="93" spans="1:12" x14ac:dyDescent="0.3">
      <c r="A93" s="16">
        <f>'04 Prices'!A94</f>
        <v>44985</v>
      </c>
      <c r="B93" s="7">
        <f>'04 Prices'!B94/'04 Prices'!B93-1</f>
        <v>4.5642052369325503E-2</v>
      </c>
      <c r="C93" s="7">
        <f>'04 Prices'!C94/'04 Prices'!C93-1</f>
        <v>-8.6298789228767325E-2</v>
      </c>
      <c r="D93" s="7">
        <f>'04 Prices'!D94/'04 Prices'!D93-1</f>
        <v>-5.026557472056381E-2</v>
      </c>
      <c r="E93" s="7">
        <f>'04 Prices'!E94/'04 Prices'!E93-1</f>
        <v>2.4221242687235467E-2</v>
      </c>
      <c r="F93" s="7">
        <f>'04 Prices'!F94/'04 Prices'!F93-1</f>
        <v>0.18830912370175756</v>
      </c>
      <c r="G93" s="7">
        <f>'04 Prices'!G94/'04 Prices'!G93-1</f>
        <v>-8.1294818434394678E-2</v>
      </c>
      <c r="H93" s="7">
        <f>'04 Prices'!H94/'04 Prices'!H93-1</f>
        <v>-1.5007730411927822E-2</v>
      </c>
      <c r="I93" s="7">
        <f>'04 Prices'!I94/'04 Prices'!I93-1</f>
        <v>-4.5291601918162283E-2</v>
      </c>
      <c r="J93" s="7">
        <f>'04 Prices'!J94/'04 Prices'!J93-1</f>
        <v>-1.209418039861121E-2</v>
      </c>
      <c r="K93" s="7">
        <f>'04 Prices'!K94/'04 Prices'!K93-1</f>
        <v>-6.6393938807955077E-2</v>
      </c>
      <c r="L93" s="7">
        <f>'04 Prices'!L94/'04 Prices'!L93-1</f>
        <v>-2.4399793943245096E-2</v>
      </c>
    </row>
    <row r="94" spans="1:12" x14ac:dyDescent="0.3">
      <c r="A94" s="16">
        <f>'04 Prices'!A95</f>
        <v>45016</v>
      </c>
      <c r="B94" s="7">
        <f>'04 Prices'!B95/'04 Prices'!B94-1</f>
        <v>0.24726393296430405</v>
      </c>
      <c r="C94" s="7">
        <f>'04 Prices'!C95/'04 Prices'!C94-1</f>
        <v>9.6147694326029987E-2</v>
      </c>
      <c r="D94" s="7">
        <f>'04 Prices'!D95/'04 Prices'!D94-1</f>
        <v>4.3910754577673794E-2</v>
      </c>
      <c r="E94" s="7">
        <f>'04 Prices'!E95/'04 Prices'!E94-1</f>
        <v>-9.0966233137520502E-2</v>
      </c>
      <c r="F94" s="7">
        <f>'04 Prices'!F95/'04 Prices'!F94-1</f>
        <v>0.19666260280461678</v>
      </c>
      <c r="G94" s="7">
        <f>'04 Prices'!G95/'04 Prices'!G94-1</f>
        <v>5.6688623531637727E-3</v>
      </c>
      <c r="H94" s="7">
        <f>'04 Prices'!H95/'04 Prices'!H94-1</f>
        <v>-1.7032847256581274E-2</v>
      </c>
      <c r="I94" s="7">
        <f>'04 Prices'!I95/'04 Prices'!I94-1</f>
        <v>-2.2743616300260339E-3</v>
      </c>
      <c r="J94" s="7">
        <f>'04 Prices'!J95/'04 Prices'!J94-1</f>
        <v>4.1682485605906372E-2</v>
      </c>
      <c r="K94" s="7">
        <f>'04 Prices'!K95/'04 Prices'!K94-1</f>
        <v>2.061412260705886E-3</v>
      </c>
      <c r="L94" s="7">
        <f>'04 Prices'!L95/'04 Prices'!L94-1</f>
        <v>3.6714319357847414E-2</v>
      </c>
    </row>
    <row r="95" spans="1:12" x14ac:dyDescent="0.3">
      <c r="A95" s="16">
        <f>'04 Prices'!A96</f>
        <v>45046</v>
      </c>
      <c r="B95" s="7">
        <f>'04 Prices'!B96/'04 Prices'!B95-1</f>
        <v>-8.8154261823129021E-2</v>
      </c>
      <c r="C95" s="7">
        <f>'04 Prices'!C96/'04 Prices'!C95-1</f>
        <v>2.0911956751327843E-2</v>
      </c>
      <c r="D95" s="7">
        <f>'04 Prices'!D96/'04 Prices'!D95-1</f>
        <v>-4.5367093815859239E-2</v>
      </c>
      <c r="E95" s="7">
        <f>'04 Prices'!E96/'04 Prices'!E95-1</f>
        <v>6.918077493958652E-2</v>
      </c>
      <c r="F95" s="7">
        <f>'04 Prices'!F96/'04 Prices'!F95-1</f>
        <v>-1.0079158455326143E-3</v>
      </c>
      <c r="G95" s="7">
        <f>'04 Prices'!G96/'04 Prices'!G95-1</f>
        <v>-4.6813753043704387E-2</v>
      </c>
      <c r="H95" s="7">
        <f>'04 Prices'!H96/'04 Prices'!H95-1</f>
        <v>-4.757581218526008E-2</v>
      </c>
      <c r="I95" s="7">
        <f>'04 Prices'!I96/'04 Prices'!I95-1</f>
        <v>7.9153618841242057E-2</v>
      </c>
      <c r="J95" s="7">
        <f>'04 Prices'!J96/'04 Prices'!J95-1</f>
        <v>2.3872515317179044E-2</v>
      </c>
      <c r="K95" s="7">
        <f>'04 Prices'!K96/'04 Prices'!K95-1</f>
        <v>1.4981350349224876E-2</v>
      </c>
      <c r="L95" s="7">
        <f>'04 Prices'!L96/'04 Prices'!L95-1</f>
        <v>1.5608884000032353E-2</v>
      </c>
    </row>
    <row r="96" spans="1:12" x14ac:dyDescent="0.3">
      <c r="A96" s="16">
        <f>'04 Prices'!A97</f>
        <v>45077</v>
      </c>
      <c r="B96" s="7">
        <f>'04 Prices'!B97/'04 Prices'!B96-1</f>
        <v>0.32270331712054467</v>
      </c>
      <c r="C96" s="7">
        <f>'04 Prices'!C97/'04 Prices'!C96-1</f>
        <v>0.14348037288669602</v>
      </c>
      <c r="D96" s="7">
        <f>'04 Prices'!D97/'04 Prices'!D96-1</f>
        <v>1.0101042767569179E-2</v>
      </c>
      <c r="E96" s="7">
        <f>'04 Prices'!E97/'04 Prices'!E96-1</f>
        <v>-1.8301653474746216E-2</v>
      </c>
      <c r="F96" s="7">
        <f>'04 Prices'!F97/'04 Prices'!F96-1</f>
        <v>0.36343624075183167</v>
      </c>
      <c r="G96" s="7">
        <f>'04 Prices'!G97/'04 Prices'!G96-1</f>
        <v>-1.1792183848864046E-2</v>
      </c>
      <c r="H96" s="7">
        <f>'04 Prices'!H97/'04 Prices'!H96-1</f>
        <v>-0.16439562263750762</v>
      </c>
      <c r="I96" s="7">
        <f>'04 Prices'!I97/'04 Prices'!I96-1</f>
        <v>-0.12906323682211218</v>
      </c>
      <c r="J96" s="7">
        <f>'04 Prices'!J97/'04 Prices'!J96-1</f>
        <v>-2.3462011628258228E-2</v>
      </c>
      <c r="K96" s="7">
        <f>'04 Prices'!K97/'04 Prices'!K96-1</f>
        <v>-8.241071625658325E-2</v>
      </c>
      <c r="L96" s="7">
        <f>'04 Prices'!L97/'04 Prices'!L96-1</f>
        <v>4.3468892424671779E-3</v>
      </c>
    </row>
    <row r="97" spans="1:12" x14ac:dyDescent="0.3">
      <c r="A97" s="16">
        <f>'04 Prices'!A98</f>
        <v>45107</v>
      </c>
      <c r="B97" s="7">
        <f>'04 Prices'!B98/'04 Prices'!B97-1</f>
        <v>-3.6375902675918614E-2</v>
      </c>
      <c r="C97" s="7">
        <f>'04 Prices'!C98/'04 Prices'!C97-1</f>
        <v>8.1107966748144689E-2</v>
      </c>
      <c r="D97" s="7">
        <f>'04 Prices'!D98/'04 Prices'!D97-1</f>
        <v>0.26083335993545864</v>
      </c>
      <c r="E97" s="7">
        <f>'04 Prices'!E98/'04 Prices'!E97-1</f>
        <v>7.169718864616792E-2</v>
      </c>
      <c r="F97" s="7">
        <f>'04 Prices'!F98/'04 Prices'!F97-1</f>
        <v>0.11821058535266782</v>
      </c>
      <c r="G97" s="7">
        <f>'04 Prices'!G98/'04 Prices'!G97-1</f>
        <v>-3.5244471826190837E-2</v>
      </c>
      <c r="H97" s="7">
        <f>'04 Prices'!H98/'04 Prices'!H97-1</f>
        <v>7.4086279859710835E-3</v>
      </c>
      <c r="I97" s="7">
        <f>'04 Prices'!I98/'04 Prices'!I97-1</f>
        <v>4.9618332976043344E-2</v>
      </c>
      <c r="J97" s="7">
        <f>'04 Prices'!J98/'04 Prices'!J97-1</f>
        <v>7.0197952197739166E-2</v>
      </c>
      <c r="K97" s="7">
        <f>'04 Prices'!K98/'04 Prices'!K97-1</f>
        <v>4.3783290518698781E-2</v>
      </c>
      <c r="L97" s="7">
        <f>'04 Prices'!L98/'04 Prices'!L97-1</f>
        <v>6.6075519485065515E-2</v>
      </c>
    </row>
    <row r="98" spans="1:12" x14ac:dyDescent="0.3">
      <c r="A98" s="16">
        <f>'04 Prices'!A99</f>
        <v>45138</v>
      </c>
      <c r="B98" s="7">
        <f>'04 Prices'!B99/'04 Prices'!B98-1</f>
        <v>4.3016227569787624E-3</v>
      </c>
      <c r="C98" s="7">
        <f>'04 Prices'!C99/'04 Prices'!C98-1</f>
        <v>2.5467873967970345E-2</v>
      </c>
      <c r="D98" s="7">
        <f>'04 Prices'!D99/'04 Prices'!D98-1</f>
        <v>-0.1173961688640438</v>
      </c>
      <c r="E98" s="7">
        <f>'04 Prices'!E99/'04 Prices'!E98-1</f>
        <v>9.3542405737273571E-2</v>
      </c>
      <c r="F98" s="7">
        <f>'04 Prices'!F99/'04 Prices'!F98-1</f>
        <v>0.10465221879332853</v>
      </c>
      <c r="G98" s="7">
        <f>'04 Prices'!G99/'04 Prices'!G98-1</f>
        <v>-5.9499787059077436E-3</v>
      </c>
      <c r="H98" s="7">
        <f>'04 Prices'!H99/'04 Prices'!H98-1</f>
        <v>3.464729436116043E-2</v>
      </c>
      <c r="I98" s="7">
        <f>'04 Prices'!I99/'04 Prices'!I98-1</f>
        <v>-9.323605592026496E-5</v>
      </c>
      <c r="J98" s="7">
        <f>'04 Prices'!J99/'04 Prices'!J98-1</f>
        <v>1.7050578274569572E-2</v>
      </c>
      <c r="K98" s="7">
        <f>'04 Prices'!K99/'04 Prices'!K98-1</f>
        <v>-6.7219780637441939E-2</v>
      </c>
      <c r="L98" s="7">
        <f>'04 Prices'!L99/'04 Prices'!L98-1</f>
        <v>3.2124499264050588E-2</v>
      </c>
    </row>
    <row r="99" spans="1:12" x14ac:dyDescent="0.3">
      <c r="A99" s="16">
        <f>'04 Prices'!A100</f>
        <v>45169</v>
      </c>
      <c r="B99" s="7">
        <f>'04 Prices'!B100/'04 Prices'!B99-1</f>
        <v>-7.5874127528112512E-2</v>
      </c>
      <c r="C99" s="7">
        <f>'04 Prices'!C100/'04 Prices'!C99-1</f>
        <v>3.2390799433200002E-2</v>
      </c>
      <c r="D99" s="7">
        <f>'04 Prices'!D100/'04 Prices'!D99-1</f>
        <v>-8.1756347701695042E-2</v>
      </c>
      <c r="E99" s="7">
        <f>'04 Prices'!E100/'04 Prices'!E99-1</f>
        <v>-7.3626353783258214E-2</v>
      </c>
      <c r="F99" s="7">
        <f>'04 Prices'!F100/'04 Prices'!F99-1</f>
        <v>5.619638782322256E-2</v>
      </c>
      <c r="G99" s="7">
        <f>'04 Prices'!G100/'04 Prices'!G99-1</f>
        <v>-1.8857289259881393E-2</v>
      </c>
      <c r="H99" s="7">
        <f>'04 Prices'!H100/'04 Prices'!H99-1</f>
        <v>-6.4740677055261542E-2</v>
      </c>
      <c r="I99" s="7">
        <f>'04 Prices'!I100/'04 Prices'!I99-1</f>
        <v>4.5332463046658056E-2</v>
      </c>
      <c r="J99" s="7">
        <f>'04 Prices'!J100/'04 Prices'!J99-1</f>
        <v>2.0818639412876427E-2</v>
      </c>
      <c r="K99" s="7">
        <f>'04 Prices'!K100/'04 Prices'!K99-1</f>
        <v>2.6408461548099726E-2</v>
      </c>
      <c r="L99" s="7">
        <f>'04 Prices'!L100/'04 Prices'!L99-1</f>
        <v>-1.5921101962751427E-2</v>
      </c>
    </row>
    <row r="100" spans="1:12" x14ac:dyDescent="0.3">
      <c r="A100" s="16">
        <f>'04 Prices'!A101</f>
        <v>45199</v>
      </c>
      <c r="B100" s="7">
        <f>'04 Prices'!B101/'04 Prices'!B100-1</f>
        <v>-2.7430963795940122E-2</v>
      </c>
      <c r="C100" s="7">
        <f>'04 Prices'!C101/'04 Prices'!C100-1</f>
        <v>-7.8907268990925372E-2</v>
      </c>
      <c r="D100" s="7">
        <f>'04 Prices'!D101/'04 Prices'!D100-1</f>
        <v>2.3907639785829771E-2</v>
      </c>
      <c r="E100" s="7">
        <f>'04 Prices'!E101/'04 Prices'!E100-1</f>
        <v>-8.952481671251511E-3</v>
      </c>
      <c r="F100" s="7">
        <f>'04 Prices'!F101/'04 Prices'!F100-1</f>
        <v>-0.1185779493592567</v>
      </c>
      <c r="G100" s="7">
        <f>'04 Prices'!G101/'04 Prices'!G100-1</f>
        <v>-6.2464861807355776E-2</v>
      </c>
      <c r="H100" s="7">
        <f>'04 Prices'!H101/'04 Prices'!H100-1</f>
        <v>-0.12627418887422526</v>
      </c>
      <c r="I100" s="7">
        <f>'04 Prices'!I101/'04 Prices'!I100-1</f>
        <v>5.7469326924506348E-2</v>
      </c>
      <c r="J100" s="7">
        <f>'04 Prices'!J101/'04 Prices'!J100-1</f>
        <v>-1.6481077809320621E-2</v>
      </c>
      <c r="K100" s="7">
        <f>'04 Prices'!K101/'04 Prices'!K100-1</f>
        <v>-7.3470661794411418E-2</v>
      </c>
      <c r="L100" s="7">
        <f>'04 Prices'!L101/'04 Prices'!L100-1</f>
        <v>-4.767813851943814E-2</v>
      </c>
    </row>
    <row r="101" spans="1:12" x14ac:dyDescent="0.3">
      <c r="A101" s="16">
        <f>'04 Prices'!A102</f>
        <v>45230</v>
      </c>
      <c r="B101" s="7">
        <f>'04 Prices'!B102/'04 Prices'!B101-1</f>
        <v>-4.2015169303779798E-2</v>
      </c>
      <c r="C101" s="7">
        <f>'04 Prices'!C102/'04 Prices'!C101-1</f>
        <v>4.6963447624224441E-2</v>
      </c>
      <c r="D101" s="7">
        <f>'04 Prices'!D102/'04 Prices'!D101-1</f>
        <v>-0.20273513426172485</v>
      </c>
      <c r="E101" s="7">
        <f>'04 Prices'!E102/'04 Prices'!E101-1</f>
        <v>-3.4022256194692235E-2</v>
      </c>
      <c r="F101" s="7">
        <f>'04 Prices'!F102/'04 Prices'!F101-1</f>
        <v>-6.2507174085844053E-2</v>
      </c>
      <c r="G101" s="7">
        <f>'04 Prices'!G102/'04 Prices'!G101-1</f>
        <v>-7.8685628557626508E-2</v>
      </c>
      <c r="H101" s="7">
        <f>'04 Prices'!H102/'04 Prices'!H101-1</f>
        <v>1.9896731073785201E-3</v>
      </c>
      <c r="I101" s="7">
        <f>'04 Prices'!I102/'04 Prices'!I101-1</f>
        <v>-9.9761977566550697E-2</v>
      </c>
      <c r="J101" s="7">
        <f>'04 Prices'!J102/'04 Prices'!J101-1</f>
        <v>2.1759471944218012E-2</v>
      </c>
      <c r="K101" s="7">
        <f>'04 Prices'!K102/'04 Prices'!K101-1</f>
        <v>0.10706110963202375</v>
      </c>
      <c r="L101" s="7">
        <f>'04 Prices'!L102/'04 Prices'!L101-1</f>
        <v>-2.1026941294089108E-2</v>
      </c>
    </row>
    <row r="102" spans="1:12" x14ac:dyDescent="0.3">
      <c r="A102" s="16">
        <f>'04 Prices'!A103</f>
        <v>45260</v>
      </c>
      <c r="B102" s="7">
        <f>'04 Prices'!B103/'04 Prices'!B102-1</f>
        <v>0.23005079859898481</v>
      </c>
      <c r="C102" s="7">
        <f>'04 Prices'!C103/'04 Prices'!C102-1</f>
        <v>9.7678265517302743E-2</v>
      </c>
      <c r="D102" s="7">
        <f>'04 Prices'!D103/'04 Prices'!D102-1</f>
        <v>5.2307601406639481E-2</v>
      </c>
      <c r="E102" s="7">
        <f>'04 Prices'!E103/'04 Prices'!E102-1</f>
        <v>0.12239334016768266</v>
      </c>
      <c r="F102" s="7">
        <f>'04 Prices'!F103/'04 Prices'!F102-1</f>
        <v>0.14688574270189103</v>
      </c>
      <c r="G102" s="7">
        <f>'04 Prices'!G103/'04 Prices'!G102-1</f>
        <v>1.0497643257219469E-2</v>
      </c>
      <c r="H102" s="7">
        <f>'04 Prices'!H103/'04 Prices'!H102-1</f>
        <v>0.22029033740618287</v>
      </c>
      <c r="I102" s="7">
        <f>'04 Prices'!I103/'04 Prices'!I102-1</f>
        <v>-2.0505513611496662E-2</v>
      </c>
      <c r="J102" s="7">
        <f>'04 Prices'!J103/'04 Prices'!J102-1</f>
        <v>-4.7243058182448783E-2</v>
      </c>
      <c r="K102" s="7">
        <f>'04 Prices'!K103/'04 Prices'!K102-1</f>
        <v>9.1090255661585129E-2</v>
      </c>
      <c r="L102" s="7">
        <f>'04 Prices'!L103/'04 Prices'!L102-1</f>
        <v>9.1325860491057842E-2</v>
      </c>
    </row>
    <row r="103" spans="1:12" x14ac:dyDescent="0.3">
      <c r="A103" s="16">
        <f>'04 Prices'!A104</f>
        <v>45291</v>
      </c>
      <c r="B103" s="7">
        <f>'04 Prices'!B104/'04 Prices'!B103-1</f>
        <v>0.21665565538632392</v>
      </c>
      <c r="C103" s="7">
        <f>'04 Prices'!C104/'04 Prices'!C103-1</f>
        <v>4.0043851390516583E-2</v>
      </c>
      <c r="D103" s="7">
        <f>'04 Prices'!D104/'04 Prices'!D103-1</f>
        <v>0.18810895517581638</v>
      </c>
      <c r="E103" s="7">
        <f>'04 Prices'!E104/'04 Prices'!E103-1</f>
        <v>8.9825953606446962E-2</v>
      </c>
      <c r="F103" s="7">
        <f>'04 Prices'!F104/'04 Prices'!F103-1</f>
        <v>5.893414142819231E-2</v>
      </c>
      <c r="G103" s="7">
        <f>'04 Prices'!G104/'04 Prices'!G103-1</f>
        <v>-5.5135986396844139E-2</v>
      </c>
      <c r="H103" s="7">
        <f>'04 Prices'!H104/'04 Prices'!H103-1</f>
        <v>6.434508842645692E-2</v>
      </c>
      <c r="I103" s="7">
        <f>'04 Prices'!I104/'04 Prices'!I103-1</f>
        <v>-2.6863770895141026E-2</v>
      </c>
      <c r="J103" s="7">
        <f>'04 Prices'!J104/'04 Prices'!J103-1</f>
        <v>1.6349748621856008E-2</v>
      </c>
      <c r="K103" s="7">
        <f>'04 Prices'!K104/'04 Prices'!K103-1</f>
        <v>-1.6436302937435032E-2</v>
      </c>
      <c r="L103" s="7">
        <f>'04 Prices'!L104/'04 Prices'!L103-1</f>
        <v>4.5430677146683474E-2</v>
      </c>
    </row>
    <row r="104" spans="1:12" x14ac:dyDescent="0.3">
      <c r="A104" s="16">
        <f>'04 Prices'!A105</f>
        <v>45322</v>
      </c>
      <c r="B104" s="7">
        <f>'04 Prices'!B105/'04 Prices'!B104-1</f>
        <v>0.13757545807746197</v>
      </c>
      <c r="C104" s="7">
        <f>'04 Prices'!C105/'04 Prices'!C104-1</f>
        <v>2.1455801333594815E-2</v>
      </c>
      <c r="D104" s="7">
        <f>'04 Prices'!D105/'04 Prices'!D104-1</f>
        <v>-3.8556109275243444E-2</v>
      </c>
      <c r="E104" s="7">
        <f>'04 Prices'!E105/'04 Prices'!E104-1</f>
        <v>3.1364629187245585E-2</v>
      </c>
      <c r="F104" s="7">
        <f>'04 Prices'!F105/'04 Prices'!F104-1</f>
        <v>0.24241755647437047</v>
      </c>
      <c r="G104" s="7">
        <f>'04 Prices'!G105/'04 Prices'!G104-1</f>
        <v>-4.524128824514595E-2</v>
      </c>
      <c r="H104" s="7">
        <f>'04 Prices'!H105/'04 Prices'!H104-1</f>
        <v>-2.3451693610531676E-2</v>
      </c>
      <c r="I104" s="7">
        <f>'04 Prices'!I105/'04 Prices'!I104-1</f>
        <v>2.8305579827412553E-2</v>
      </c>
      <c r="J104" s="7">
        <f>'04 Prices'!J105/'04 Prices'!J104-1</f>
        <v>4.8208106809564777E-2</v>
      </c>
      <c r="K104" s="7">
        <f>'04 Prices'!K105/'04 Prices'!K104-1</f>
        <v>0.14228537158764532</v>
      </c>
      <c r="L104" s="7">
        <f>'04 Prices'!L105/'04 Prices'!L104-1</f>
        <v>1.6804091797367082E-2</v>
      </c>
    </row>
    <row r="105" spans="1:12" x14ac:dyDescent="0.3">
      <c r="A105" s="16">
        <f>'04 Prices'!A106</f>
        <v>45351</v>
      </c>
      <c r="B105" s="7">
        <f>'04 Prices'!B106/'04 Prices'!B105-1</f>
        <v>0.14813045486560661</v>
      </c>
      <c r="C105" s="7">
        <f>'04 Prices'!C106/'04 Prices'!C105-1</f>
        <v>0.13891751277690867</v>
      </c>
      <c r="D105" s="7">
        <f>'04 Prices'!D106/'04 Prices'!D105-1</f>
        <v>9.0073855438058237E-2</v>
      </c>
      <c r="E105" s="7">
        <f>'04 Prices'!E106/'04 Prices'!E105-1</f>
        <v>6.710258374544309E-2</v>
      </c>
      <c r="F105" s="7">
        <f>'04 Prices'!F106/'04 Prices'!F105-1</f>
        <v>0.28580951007071542</v>
      </c>
      <c r="G105" s="7">
        <f>'04 Prices'!G106/'04 Prices'!G105-1</f>
        <v>-1.9202275673651847E-2</v>
      </c>
      <c r="H105" s="7">
        <f>'04 Prices'!H106/'04 Prices'!H105-1</f>
        <v>0.10765498758476388</v>
      </c>
      <c r="I105" s="7">
        <f>'04 Prices'!I106/'04 Prices'!I105-1</f>
        <v>2.6080859502518816E-2</v>
      </c>
      <c r="J105" s="7">
        <f>'04 Prices'!J106/'04 Prices'!J105-1</f>
        <v>6.402419877333565E-2</v>
      </c>
      <c r="K105" s="7">
        <f>'04 Prices'!K106/'04 Prices'!K105-1</f>
        <v>-5.5017635933199527E-2</v>
      </c>
      <c r="L105" s="7">
        <f>'04 Prices'!L106/'04 Prices'!L105-1</f>
        <v>5.3395884641637359E-2</v>
      </c>
    </row>
    <row r="106" spans="1:12" x14ac:dyDescent="0.3">
      <c r="A106" s="16">
        <f>'04 Prices'!A107</f>
        <v>45382</v>
      </c>
      <c r="B106" s="7">
        <f>'04 Prices'!B107/'04 Prices'!B106-1</f>
        <v>-6.2535674244824424E-2</v>
      </c>
      <c r="C106" s="7">
        <f>'04 Prices'!C107/'04 Prices'!C106-1</f>
        <v>2.0479805886487901E-2</v>
      </c>
      <c r="D106" s="7">
        <f>'04 Prices'!D107/'04 Prices'!D106-1</f>
        <v>6.7524215938349119E-2</v>
      </c>
      <c r="E106" s="7">
        <f>'04 Prices'!E107/'04 Prices'!E106-1</f>
        <v>7.6534505151797827E-2</v>
      </c>
      <c r="F106" s="7">
        <f>'04 Prices'!F107/'04 Prices'!F106-1</f>
        <v>0.14218117105486017</v>
      </c>
      <c r="G106" s="7">
        <f>'04 Prices'!G107/'04 Prices'!G106-1</f>
        <v>4.4804368050738397E-2</v>
      </c>
      <c r="H106" s="7">
        <f>'04 Prices'!H107/'04 Prices'!H106-1</f>
        <v>0.15884130499115057</v>
      </c>
      <c r="I106" s="7">
        <f>'04 Prices'!I107/'04 Prices'!I106-1</f>
        <v>0.11213160595403404</v>
      </c>
      <c r="J106" s="7">
        <f>'04 Prices'!J107/'04 Prices'!J106-1</f>
        <v>3.0113078377299818E-2</v>
      </c>
      <c r="K106" s="7">
        <f>'04 Prices'!K107/'04 Prices'!K106-1</f>
        <v>4.8475567257129981E-2</v>
      </c>
      <c r="L106" s="7">
        <f>'04 Prices'!L107/'04 Prices'!L106-1</f>
        <v>3.2174685524495761E-2</v>
      </c>
    </row>
    <row r="107" spans="1:12" x14ac:dyDescent="0.3">
      <c r="A107" s="16">
        <f>'04 Prices'!A108</f>
        <v>45412</v>
      </c>
      <c r="B107" s="7">
        <f>'04 Prices'!B108/'04 Prices'!B107-1</f>
        <v>-0.12249986113972122</v>
      </c>
      <c r="C107" s="7">
        <f>'04 Prices'!C108/'04 Prices'!C107-1</f>
        <v>-2.9825949314557509E-2</v>
      </c>
      <c r="D107" s="7">
        <f>'04 Prices'!D108/'04 Prices'!D107-1</f>
        <v>-8.5090384677334763E-2</v>
      </c>
      <c r="E107" s="7">
        <f>'04 Prices'!E108/'04 Prices'!E107-1</f>
        <v>-3.7152140256992872E-2</v>
      </c>
      <c r="F107" s="7">
        <f>'04 Prices'!F108/'04 Prices'!F107-1</f>
        <v>-4.3760226964393967E-2</v>
      </c>
      <c r="G107" s="7">
        <f>'04 Prices'!G108/'04 Prices'!G107-1</f>
        <v>-7.6756854167209454E-2</v>
      </c>
      <c r="H107" s="7">
        <f>'04 Prices'!H108/'04 Prices'!H107-1</f>
        <v>-9.1586292488542886E-2</v>
      </c>
      <c r="I107" s="7">
        <f>'04 Prices'!I108/'04 Prices'!I107-1</f>
        <v>1.7463890950881744E-2</v>
      </c>
      <c r="J107" s="7">
        <f>'04 Prices'!J108/'04 Prices'!J107-1</f>
        <v>-1.3628130936377381E-2</v>
      </c>
      <c r="K107" s="7">
        <f>'04 Prices'!K108/'04 Prices'!K107-1</f>
        <v>-4.3624757396355629E-2</v>
      </c>
      <c r="L107" s="7">
        <f>'04 Prices'!L108/'04 Prices'!L107-1</f>
        <v>-4.08450587389384E-2</v>
      </c>
    </row>
    <row r="108" spans="1:12" x14ac:dyDescent="0.3">
      <c r="A108" s="16">
        <f>'04 Prices'!A109</f>
        <v>45443</v>
      </c>
      <c r="B108" s="7">
        <f>'04 Prices'!B109/'04 Prices'!B108-1</f>
        <v>5.3794600014654526E-2</v>
      </c>
      <c r="C108" s="7">
        <f>'04 Prices'!C109/'04 Prices'!C108-1</f>
        <v>8.228585377142883E-3</v>
      </c>
      <c r="D108" s="7">
        <f>'04 Prices'!D109/'04 Prices'!D108-1</f>
        <v>1.047968055098214E-2</v>
      </c>
      <c r="E108" s="7">
        <f>'04 Prices'!E109/'04 Prices'!E108-1</f>
        <v>5.6795782844524023E-2</v>
      </c>
      <c r="F108" s="7">
        <f>'04 Prices'!F109/'04 Prices'!F108-1</f>
        <v>0.26887117967812357</v>
      </c>
      <c r="G108" s="7">
        <f>'04 Prices'!G109/'04 Prices'!G108-1</f>
        <v>0.13552751171911548</v>
      </c>
      <c r="H108" s="7">
        <f>'04 Prices'!H109/'04 Prices'!H108-1</f>
        <v>-2.3264056745786355E-2</v>
      </c>
      <c r="I108" s="7">
        <f>'04 Prices'!I109/'04 Prices'!I108-1</f>
        <v>-4.8660766770125541E-4</v>
      </c>
      <c r="J108" s="7">
        <f>'04 Prices'!J109/'04 Prices'!J108-1</f>
        <v>0.11183860247216271</v>
      </c>
      <c r="K108" s="7">
        <f>'04 Prices'!K109/'04 Prices'!K108-1</f>
        <v>4.2035828877088788E-2</v>
      </c>
      <c r="L108" s="7">
        <f>'04 Prices'!L109/'04 Prices'!L108-1</f>
        <v>4.9585179904671595E-2</v>
      </c>
    </row>
    <row r="109" spans="1:12" x14ac:dyDescent="0.3">
      <c r="A109" s="16">
        <f>'04 Prices'!A110</f>
        <v>45473</v>
      </c>
      <c r="B109" s="7">
        <f>'04 Prices'!B110/'04 Prices'!B109-1</f>
        <v>-2.810058330452947E-2</v>
      </c>
      <c r="C109" s="7">
        <f>'04 Prices'!C110/'04 Prices'!C109-1</f>
        <v>9.5273165531842174E-2</v>
      </c>
      <c r="D109" s="7">
        <f>'04 Prices'!D110/'04 Prices'!D109-1</f>
        <v>3.3800488336602985E-2</v>
      </c>
      <c r="E109" s="7">
        <f>'04 Prices'!E110/'04 Prices'!E109-1</f>
        <v>-1.8261974481807997E-3</v>
      </c>
      <c r="F109" s="7">
        <f>'04 Prices'!F110/'04 Prices'!F109-1</f>
        <v>0.12694298818713645</v>
      </c>
      <c r="G109" s="7">
        <f>'04 Prices'!G110/'04 Prices'!G109-1</f>
        <v>-2.3726365919317094E-2</v>
      </c>
      <c r="H109" s="7">
        <f>'04 Prices'!H110/'04 Prices'!H109-1</f>
        <v>-5.1998150900619322E-2</v>
      </c>
      <c r="I109" s="7">
        <f>'04 Prices'!I110/'04 Prices'!I109-1</f>
        <v>-1.8250097968883217E-2</v>
      </c>
      <c r="J109" s="7">
        <f>'04 Prices'!J110/'04 Prices'!J109-1</f>
        <v>2.9653345313447765E-2</v>
      </c>
      <c r="K109" s="7">
        <f>'04 Prices'!K110/'04 Prices'!K109-1</f>
        <v>2.1870374625378997E-3</v>
      </c>
      <c r="L109" s="7">
        <f>'04 Prices'!L110/'04 Prices'!L109-1</f>
        <v>3.588177058055364E-2</v>
      </c>
    </row>
    <row r="110" spans="1:12" x14ac:dyDescent="0.3">
      <c r="A110" s="16">
        <f>'04 Prices'!A111</f>
        <v>45504</v>
      </c>
      <c r="B110" s="7">
        <f>'04 Prices'!B111/'04 Prices'!B110-1</f>
        <v>-0.10930281888996285</v>
      </c>
      <c r="C110" s="7">
        <f>'04 Prices'!C111/'04 Prices'!C110-1</f>
        <v>-3.2445041510996142E-2</v>
      </c>
      <c r="D110" s="7">
        <f>'04 Prices'!D111/'04 Prices'!D110-1</f>
        <v>-0.13716106191403077</v>
      </c>
      <c r="E110" s="7">
        <f>'04 Prices'!E111/'04 Prices'!E110-1</f>
        <v>5.7941078664780932E-2</v>
      </c>
      <c r="F110" s="7">
        <f>'04 Prices'!F111/'04 Prices'!F110-1</f>
        <v>-5.2776391462823313E-2</v>
      </c>
      <c r="G110" s="7">
        <f>'04 Prices'!G111/'04 Prices'!G110-1</f>
        <v>0.10689810453826998</v>
      </c>
      <c r="H110" s="7">
        <f>'04 Prices'!H111/'04 Prices'!H110-1</f>
        <v>1.6009452695361359E-2</v>
      </c>
      <c r="I110" s="7">
        <f>'04 Prices'!I111/'04 Prices'!I110-1</f>
        <v>3.0142377055006664E-2</v>
      </c>
      <c r="J110" s="7">
        <f>'04 Prices'!J111/'04 Prices'!J110-1</f>
        <v>1.3735080882484541E-2</v>
      </c>
      <c r="K110" s="7">
        <f>'04 Prices'!K111/'04 Prices'!K110-1</f>
        <v>-1.3792427815998431E-3</v>
      </c>
      <c r="L110" s="7">
        <f>'04 Prices'!L111/'04 Prices'!L110-1</f>
        <v>1.217247187155901E-2</v>
      </c>
    </row>
    <row r="111" spans="1:12" x14ac:dyDescent="0.3">
      <c r="A111" s="16">
        <f>'04 Prices'!A112</f>
        <v>45535</v>
      </c>
      <c r="B111" s="7">
        <f>'04 Prices'!B112/'04 Prices'!B111-1</f>
        <v>2.8239216165821812E-2</v>
      </c>
      <c r="C111" s="7">
        <f>'04 Prices'!C112/'04 Prices'!C111-1</f>
        <v>-4.5352422300489637E-2</v>
      </c>
      <c r="D111" s="7">
        <f>'04 Prices'!D112/'04 Prices'!D111-1</f>
        <v>5.0304978571070524E-2</v>
      </c>
      <c r="E111" s="7">
        <f>'04 Prices'!E112/'04 Prices'!E111-1</f>
        <v>5.6391014522321647E-2</v>
      </c>
      <c r="F111" s="7">
        <f>'04 Prices'!F112/'04 Prices'!F111-1</f>
        <v>2.0081928951225958E-2</v>
      </c>
      <c r="G111" s="7">
        <f>'04 Prices'!G112/'04 Prices'!G111-1</f>
        <v>-5.0098327308757407E-2</v>
      </c>
      <c r="H111" s="7">
        <f>'04 Prices'!H112/'04 Prices'!H111-1</f>
        <v>2.9328978737688249E-2</v>
      </c>
      <c r="I111" s="7">
        <f>'04 Prices'!I112/'04 Prices'!I111-1</f>
        <v>2.5257826352711454E-3</v>
      </c>
      <c r="J111" s="7">
        <f>'04 Prices'!J112/'04 Prices'!J111-1</f>
        <v>0.12835271307677698</v>
      </c>
      <c r="K111" s="7">
        <f>'04 Prices'!K112/'04 Prices'!K111-1</f>
        <v>3.1095572781512759E-2</v>
      </c>
      <c r="L111" s="7">
        <f>'04 Prices'!L112/'04 Prices'!L111-1</f>
        <v>2.4256361136437254E-2</v>
      </c>
    </row>
    <row r="112" spans="1:12" x14ac:dyDescent="0.3">
      <c r="A112" s="16">
        <f>'04 Prices'!A113</f>
        <v>45565</v>
      </c>
      <c r="B112" s="7">
        <f>'04 Prices'!B113/'04 Prices'!B112-1</f>
        <v>0.10446960505526581</v>
      </c>
      <c r="C112" s="7">
        <f>'04 Prices'!C113/'04 Prices'!C112-1</f>
        <v>4.3865556476190504E-2</v>
      </c>
      <c r="D112" s="7">
        <f>'04 Prices'!D113/'04 Prices'!D112-1</f>
        <v>-5.6300398842095589E-2</v>
      </c>
      <c r="E112" s="7">
        <f>'04 Prices'!E113/'04 Prices'!E112-1</f>
        <v>-6.2010687169932854E-2</v>
      </c>
      <c r="F112" s="7">
        <f>'04 Prices'!F113/'04 Prices'!F112-1</f>
        <v>1.7428216201685887E-2</v>
      </c>
      <c r="G112" s="7">
        <f>'04 Prices'!G113/'04 Prices'!G112-1</f>
        <v>-2.4129348856010147E-3</v>
      </c>
      <c r="H112" s="7">
        <f>'04 Prices'!H113/'04 Prices'!H112-1</f>
        <v>1.4581649038620137E-2</v>
      </c>
      <c r="I112" s="7">
        <f>'04 Prices'!I113/'04 Prices'!I112-1</f>
        <v>-6.1048445045489563E-3</v>
      </c>
      <c r="J112" s="7">
        <f>'04 Prices'!J113/'04 Prices'!J112-1</f>
        <v>4.5578213022083203E-2</v>
      </c>
      <c r="K112" s="7">
        <f>'04 Prices'!K113/'04 Prices'!K112-1</f>
        <v>7.4916492333829909E-2</v>
      </c>
      <c r="L112" s="7">
        <f>'04 Prices'!L113/'04 Prices'!L112-1</f>
        <v>2.1357051858536868E-2</v>
      </c>
    </row>
    <row r="113" spans="1:12" x14ac:dyDescent="0.3">
      <c r="A113" s="16">
        <f>'04 Prices'!A114</f>
        <v>45596</v>
      </c>
      <c r="B113" s="7">
        <f>'04 Prices'!B114/'04 Prices'!B113-1</f>
        <v>-0.12195267115860964</v>
      </c>
      <c r="C113" s="7">
        <f>'04 Prices'!C114/'04 Prices'!C113-1</f>
        <v>3.7563497188974893E-4</v>
      </c>
      <c r="D113" s="7">
        <f>'04 Prices'!D114/'04 Prices'!D113-1</f>
        <v>-2.5568055814827573E-2</v>
      </c>
      <c r="E113" s="7">
        <f>'04 Prices'!E114/'04 Prices'!E113-1</f>
        <v>5.8901280867671879E-2</v>
      </c>
      <c r="F113" s="7">
        <f>'04 Prices'!F114/'04 Prices'!F113-1</f>
        <v>9.3214656272755825E-2</v>
      </c>
      <c r="G113" s="7">
        <f>'04 Prices'!G114/'04 Prices'!G113-1</f>
        <v>-2.211478166070735E-2</v>
      </c>
      <c r="H113" s="7">
        <f>'04 Prices'!H114/'04 Prices'!H113-1</f>
        <v>-3.7341341278399165E-2</v>
      </c>
      <c r="I113" s="7">
        <f>'04 Prices'!I114/'04 Prices'!I113-1</f>
        <v>-3.7538002789838654E-3</v>
      </c>
      <c r="J113" s="7">
        <f>'04 Prices'!J114/'04 Prices'!J113-1</f>
        <v>1.4860676647299842E-2</v>
      </c>
      <c r="K113" s="7">
        <f>'04 Prices'!K114/'04 Prices'!K113-1</f>
        <v>-4.7257215945401665E-2</v>
      </c>
      <c r="L113" s="7">
        <f>'04 Prices'!L114/'04 Prices'!L113-1</f>
        <v>-9.0680076543235844E-3</v>
      </c>
    </row>
    <row r="114" spans="1:12" x14ac:dyDescent="0.3">
      <c r="A114" s="16">
        <f>'04 Prices'!A115</f>
        <v>45626</v>
      </c>
      <c r="B114" s="7">
        <f>'04 Prices'!B115/'04 Prices'!B114-1</f>
        <v>-4.7824073698455316E-2</v>
      </c>
      <c r="C114" s="7">
        <f>'04 Prices'!C115/'04 Prices'!C114-1</f>
        <v>0.11528973282043209</v>
      </c>
      <c r="D114" s="7">
        <f>'04 Prices'!D115/'04 Prices'!D114-1</f>
        <v>9.632882086424055E-2</v>
      </c>
      <c r="E114" s="7">
        <f>'04 Prices'!E115/'04 Prices'!E114-1</f>
        <v>0.12527046687683652</v>
      </c>
      <c r="F114" s="7">
        <f>'04 Prices'!F115/'04 Prices'!F114-1</f>
        <v>4.1352724061388679E-2</v>
      </c>
      <c r="G114" s="7">
        <f>'04 Prices'!G115/'04 Prices'!G114-1</f>
        <v>-5.9466203761530667E-2</v>
      </c>
      <c r="H114" s="7">
        <f>'04 Prices'!H115/'04 Prices'!H114-1</f>
        <v>-0.11179143637305688</v>
      </c>
      <c r="I114" s="7">
        <f>'04 Prices'!I115/'04 Prices'!I114-1</f>
        <v>1.8404723366886255E-2</v>
      </c>
      <c r="J114" s="7">
        <f>'04 Prices'!J115/'04 Prices'!J114-1</f>
        <v>0.1287369610907354</v>
      </c>
      <c r="K114" s="7">
        <f>'04 Prices'!K115/'04 Prices'!K114-1</f>
        <v>5.2456500631664627E-2</v>
      </c>
      <c r="L114" s="7">
        <f>'04 Prices'!L115/'04 Prices'!L114-1</f>
        <v>5.8700568015709109E-2</v>
      </c>
    </row>
    <row r="115" spans="1:12" x14ac:dyDescent="0.3">
      <c r="A115" s="16">
        <f>'04 Prices'!A116</f>
        <v>45657</v>
      </c>
      <c r="B115" s="7">
        <f>'04 Prices'!B116/'04 Prices'!B115-1</f>
        <v>-0.11947800433778188</v>
      </c>
      <c r="C115" s="7">
        <f>'04 Prices'!C116/'04 Prices'!C115-1</f>
        <v>5.5317716262176075E-2</v>
      </c>
      <c r="D115" s="7">
        <f>'04 Prices'!D116/'04 Prices'!D115-1</f>
        <v>-0.11051225925777364</v>
      </c>
      <c r="E115" s="7">
        <f>'04 Prices'!E116/'04 Prices'!E115-1</f>
        <v>-4.0084923419840712E-2</v>
      </c>
      <c r="F115" s="7">
        <f>'04 Prices'!F116/'04 Prices'!F115-1</f>
        <v>-2.8576914501042827E-2</v>
      </c>
      <c r="G115" s="7">
        <f>'04 Prices'!G116/'04 Prices'!G115-1</f>
        <v>1.2209158091404326E-2</v>
      </c>
      <c r="H115" s="7">
        <f>'04 Prices'!H116/'04 Prices'!H115-1</f>
        <v>2.1691151341564519E-2</v>
      </c>
      <c r="I115" s="7">
        <f>'04 Prices'!I116/'04 Prices'!I115-1</f>
        <v>-8.8080621076664256E-2</v>
      </c>
      <c r="J115" s="7">
        <f>'04 Prices'!J116/'04 Prices'!J115-1</f>
        <v>-2.1079155046366038E-2</v>
      </c>
      <c r="K115" s="7">
        <f>'04 Prices'!K116/'04 Prices'!K115-1</f>
        <v>-9.8105566267238098E-2</v>
      </c>
      <c r="L115" s="7">
        <f>'04 Prices'!L116/'04 Prices'!L115-1</f>
        <v>-2.3838094363162976E-2</v>
      </c>
    </row>
    <row r="116" spans="1:12" x14ac:dyDescent="0.3">
      <c r="A116" s="16">
        <f>'04 Prices'!A117</f>
        <v>45688</v>
      </c>
      <c r="B116" s="7">
        <f>'04 Prices'!B117/'04 Prices'!B116-1</f>
        <v>-4.0069574727181534E-2</v>
      </c>
      <c r="C116" s="7">
        <f>'04 Prices'!C117/'04 Prices'!C116-1</f>
        <v>8.336748865880006E-2</v>
      </c>
      <c r="D116" s="7">
        <f>'04 Prices'!D117/'04 Prices'!D116-1</f>
        <v>1.8181839593262472E-2</v>
      </c>
      <c r="E116" s="7">
        <f>'04 Prices'!E117/'04 Prices'!E116-1</f>
        <v>0.12085634389186262</v>
      </c>
      <c r="F116" s="7">
        <f>'04 Prices'!F117/'04 Prices'!F116-1</f>
        <v>-0.10589007757016788</v>
      </c>
      <c r="G116" s="7">
        <f>'04 Prices'!G117/'04 Prices'!G116-1</f>
        <v>1.6148978081515608E-2</v>
      </c>
      <c r="H116" s="7">
        <f>'04 Prices'!H117/'04 Prices'!H116-1</f>
        <v>2.0195382144256646E-2</v>
      </c>
      <c r="I116" s="7">
        <f>'04 Prices'!I117/'04 Prices'!I116-1</f>
        <v>-6.879198620039273E-3</v>
      </c>
      <c r="J116" s="7">
        <f>'04 Prices'!J117/'04 Prices'!J116-1</f>
        <v>8.644167288321869E-2</v>
      </c>
      <c r="K116" s="7">
        <f>'04 Prices'!K117/'04 Prices'!K116-1</f>
        <v>2.4504838209613578E-3</v>
      </c>
      <c r="L116" s="7">
        <f>'04 Prices'!L117/'04 Prices'!L116-1</f>
        <v>2.7847318317457459E-2</v>
      </c>
    </row>
    <row r="117" spans="1:12" x14ac:dyDescent="0.3">
      <c r="A117" s="16">
        <f>'04 Prices'!A118</f>
        <v>45716</v>
      </c>
      <c r="B117" s="7">
        <f>'04 Prices'!B118/'04 Prices'!B117-1</f>
        <v>-0.13876668185524732</v>
      </c>
      <c r="C117" s="7">
        <f>'04 Prices'!C118/'04 Prices'!C117-1</f>
        <v>-0.10686635257358279</v>
      </c>
      <c r="D117" s="7">
        <f>'04 Prices'!D118/'04 Prices'!D117-1</f>
        <v>-2.1617916610815913E-2</v>
      </c>
      <c r="E117" s="7">
        <f>'04 Prices'!E118/'04 Prices'!E117-1</f>
        <v>-9.9140102703147992E-3</v>
      </c>
      <c r="F117" s="7">
        <f>'04 Prices'!F118/'04 Prices'!F117-1</f>
        <v>4.0393122637556012E-2</v>
      </c>
      <c r="G117" s="7">
        <f>'04 Prices'!G118/'04 Prices'!G117-1</f>
        <v>-3.3936516220592905E-3</v>
      </c>
      <c r="H117" s="7">
        <f>'04 Prices'!H118/'04 Prices'!H117-1</f>
        <v>-9.1439761001840258E-2</v>
      </c>
      <c r="I117" s="7">
        <f>'04 Prices'!I118/'04 Prices'!I117-1</f>
        <v>5.1444353051546488E-2</v>
      </c>
      <c r="J117" s="7">
        <f>'04 Prices'!J118/'04 Prices'!J117-1</f>
        <v>4.5843931799729454E-3</v>
      </c>
      <c r="K117" s="7">
        <f>'04 Prices'!K118/'04 Prices'!K117-1</f>
        <v>9.4186177179723218E-2</v>
      </c>
      <c r="L117" s="7">
        <f>'04 Prices'!L118/'04 Prices'!L117-1</f>
        <v>-1.3047637678160307E-2</v>
      </c>
    </row>
    <row r="118" spans="1:12" x14ac:dyDescent="0.3">
      <c r="A118" s="16">
        <f>'04 Prices'!A119</f>
        <v>45747</v>
      </c>
      <c r="B118" s="7">
        <f>'04 Prices'!B119/'04 Prices'!B118-1</f>
        <v>2.8840348848346187E-2</v>
      </c>
      <c r="C118" s="7">
        <f>'04 Prices'!C119/'04 Prices'!C118-1</f>
        <v>-0.10373094214554124</v>
      </c>
      <c r="D118" s="7">
        <f>'04 Prices'!D119/'04 Prices'!D118-1</f>
        <v>5.0261916490678571E-2</v>
      </c>
      <c r="E118" s="7">
        <f>'04 Prices'!E119/'04 Prices'!E118-1</f>
        <v>-7.3115208584336733E-2</v>
      </c>
      <c r="F118" s="7">
        <f>'04 Prices'!F119/'04 Prices'!F118-1</f>
        <v>-0.13232499060565084</v>
      </c>
      <c r="G118" s="7">
        <f>'04 Prices'!G119/'04 Prices'!G118-1</f>
        <v>-4.1241009031105058E-2</v>
      </c>
      <c r="H118" s="7">
        <f>'04 Prices'!H119/'04 Prices'!H118-1</f>
        <v>-0.16001294770787311</v>
      </c>
      <c r="I118" s="7">
        <f>'04 Prices'!I119/'04 Prices'!I118-1</f>
        <v>6.8265554243546411E-2</v>
      </c>
      <c r="J118" s="7">
        <f>'04 Prices'!J119/'04 Prices'!J118-1</f>
        <v>-0.10728043408293053</v>
      </c>
      <c r="K118" s="7">
        <f>'04 Prices'!K119/'04 Prices'!K118-1</f>
        <v>5.2436126445830178E-2</v>
      </c>
      <c r="L118" s="7">
        <f>'04 Prices'!L119/'04 Prices'!L118-1</f>
        <v>-5.6344280452193307E-2</v>
      </c>
    </row>
    <row r="119" spans="1:12" x14ac:dyDescent="0.3">
      <c r="A119" s="16">
        <f>'04 Prices'!A120</f>
        <v>45777</v>
      </c>
      <c r="B119" s="7">
        <f>'04 Prices'!B120/'04 Prices'!B119-1</f>
        <v>-5.2462521919018346E-2</v>
      </c>
      <c r="C119" s="7">
        <f>'04 Prices'!C120/'04 Prices'!C119-1</f>
        <v>-3.0694820280703472E-2</v>
      </c>
      <c r="D119" s="7">
        <f>'04 Prices'!D120/'04 Prices'!D119-1</f>
        <v>-1.9940742598210104E-3</v>
      </c>
      <c r="E119" s="7">
        <f>'04 Prices'!E120/'04 Prices'!E119-1</f>
        <v>3.3702343138257707E-3</v>
      </c>
      <c r="F119" s="7">
        <f>'04 Prices'!F120/'04 Prices'!F119-1</f>
        <v>4.9824814687089436E-3</v>
      </c>
      <c r="G119" s="7">
        <f>'04 Prices'!G120/'04 Prices'!G119-1</f>
        <v>-3.6700888096346418E-2</v>
      </c>
      <c r="H119" s="7">
        <f>'04 Prices'!H120/'04 Prices'!H119-1</f>
        <v>-7.3399778119723091E-2</v>
      </c>
      <c r="I119" s="7">
        <f>'04 Prices'!I120/'04 Prices'!I119-1</f>
        <v>-0.11183052892922762</v>
      </c>
      <c r="J119" s="7">
        <f>'04 Prices'!J120/'04 Prices'!J119-1</f>
        <v>0.10775710176069753</v>
      </c>
      <c r="K119" s="7">
        <f>'04 Prices'!K120/'04 Prices'!K119-1</f>
        <v>-1.3057918074586894E-2</v>
      </c>
      <c r="L119" s="7">
        <f>'04 Prices'!L120/'04 Prices'!L119-1</f>
        <v>-6.7814634836427246E-3</v>
      </c>
    </row>
    <row r="120" spans="1:12" x14ac:dyDescent="0.3">
      <c r="A120" s="16">
        <f>'04 Prices'!A121</f>
        <v>45808</v>
      </c>
      <c r="B120" s="7">
        <f>'04 Prices'!B121/'04 Prices'!B120-1</f>
        <v>0.1374422711106642</v>
      </c>
      <c r="C120" s="7">
        <f>'04 Prices'!C121/'04 Prices'!C120-1</f>
        <v>0.11164730800578138</v>
      </c>
      <c r="D120" s="7">
        <f>'04 Prices'!D121/'04 Prices'!D120-1</f>
        <v>5.2093778335599472E-2</v>
      </c>
      <c r="E120" s="7">
        <f>'04 Prices'!E121/'04 Prices'!E120-1</f>
        <v>7.9224991791195354E-2</v>
      </c>
      <c r="F120" s="7">
        <f>'04 Prices'!F121/'04 Prices'!F120-1</f>
        <v>0.24063554741934778</v>
      </c>
      <c r="G120" s="7">
        <f>'04 Prices'!G121/'04 Prices'!G120-1</f>
        <v>-1.9331215477973229E-2</v>
      </c>
      <c r="H120" s="7">
        <f>'04 Prices'!H121/'04 Prices'!H120-1</f>
        <v>-1.6703849653879721E-2</v>
      </c>
      <c r="I120" s="7">
        <f>'04 Prices'!I121/'04 Prices'!I120-1</f>
        <v>-2.2605171827523529E-2</v>
      </c>
      <c r="J120" s="7">
        <f>'04 Prices'!J121/'04 Prices'!J120-1</f>
        <v>1.7570113129600662E-2</v>
      </c>
      <c r="K120" s="7">
        <f>'04 Prices'!K121/'04 Prices'!K120-1</f>
        <v>-2.2698411617986247E-3</v>
      </c>
      <c r="L120" s="7">
        <f>'04 Prices'!L121/'04 Prices'!L120-1</f>
        <v>6.294523524680673E-2</v>
      </c>
    </row>
    <row r="121" spans="1:12" x14ac:dyDescent="0.3">
      <c r="A121" s="16">
        <f>'04 Prices'!A122</f>
        <v>45838</v>
      </c>
      <c r="B121" s="7">
        <f>'04 Prices'!B122/'04 Prices'!B121-1</f>
        <v>0.28149543569059721</v>
      </c>
      <c r="C121" s="7">
        <f>'04 Prices'!C122/'04 Prices'!C121-1</f>
        <v>7.0142945555315528E-2</v>
      </c>
      <c r="D121" s="7">
        <f>'04 Prices'!D122/'04 Prices'!D121-1</f>
        <v>4.5279456939800067E-2</v>
      </c>
      <c r="E121" s="7">
        <f>'04 Prices'!E122/'04 Prices'!E121-1</f>
        <v>9.8143794982949784E-2</v>
      </c>
      <c r="F121" s="7">
        <f>'04 Prices'!F122/'04 Prices'!F121-1</f>
        <v>0.1692515500175662</v>
      </c>
      <c r="G121" s="7">
        <f>'04 Prices'!G122/'04 Prices'!G121-1</f>
        <v>3.1928446788899612E-2</v>
      </c>
      <c r="H121" s="7">
        <f>'04 Prices'!H122/'04 Prices'!H121-1</f>
        <v>4.9356488221834249E-2</v>
      </c>
      <c r="I121" s="7">
        <f>'04 Prices'!I122/'04 Prices'!I121-1</f>
        <v>5.3763450023830872E-2</v>
      </c>
      <c r="J121" s="7">
        <f>'04 Prices'!J122/'04 Prices'!J121-1</f>
        <v>-9.5218573707929188E-3</v>
      </c>
      <c r="K121" s="7">
        <f>'04 Prices'!K122/'04 Prices'!K121-1</f>
        <v>-1.5696027671577517E-2</v>
      </c>
      <c r="L121" s="7">
        <f>'04 Prices'!L122/'04 Prices'!L121-1</f>
        <v>5.0852438749549256E-2</v>
      </c>
    </row>
    <row r="122" spans="1:12" x14ac:dyDescent="0.3">
      <c r="A122" s="16">
        <f>'04 Prices'!A123</f>
        <v>45869</v>
      </c>
      <c r="B122" s="7">
        <f>'04 Prices'!B123/'04 Prices'!B122-1</f>
        <v>0.24249475083289607</v>
      </c>
      <c r="C122" s="7">
        <f>'04 Prices'!C123/'04 Prices'!C122-1</f>
        <v>6.7095133146123365E-2</v>
      </c>
      <c r="D122" s="7">
        <f>'04 Prices'!D123/'04 Prices'!D122-1</f>
        <v>2.0276330825087063E-2</v>
      </c>
      <c r="E122" s="7">
        <f>'04 Prices'!E123/'04 Prices'!E122-1</f>
        <v>2.6757209850395203E-2</v>
      </c>
      <c r="F122" s="7">
        <f>'04 Prices'!F123/'04 Prices'!F122-1</f>
        <v>0.12583069473010045</v>
      </c>
      <c r="G122" s="7">
        <f>'04 Prices'!G123/'04 Prices'!G122-1</f>
        <v>-2.2612437314546874E-2</v>
      </c>
      <c r="H122" s="7">
        <f>'04 Prices'!H123/'04 Prices'!H122-1</f>
        <v>1.8753076775092081E-2</v>
      </c>
      <c r="I122" s="7">
        <f>'04 Prices'!I123/'04 Prices'!I122-1</f>
        <v>3.5621428466213079E-2</v>
      </c>
      <c r="J122" s="7">
        <f>'04 Prices'!J123/'04 Prices'!J122-1</f>
        <v>2.0454115275094775E-3</v>
      </c>
      <c r="K122" s="7">
        <f>'04 Prices'!K123/'04 Prices'!K122-1</f>
        <v>4.1918921930723663E-3</v>
      </c>
      <c r="L122" s="7">
        <f>'04 Prices'!L123/'04 Prices'!L122-1</f>
        <v>2.2442682801394387E-2</v>
      </c>
    </row>
    <row r="123" spans="1:12" x14ac:dyDescent="0.3">
      <c r="A123" s="16">
        <f>'04 Prices'!A124</f>
        <v>45900</v>
      </c>
      <c r="B123" s="7">
        <f>'04 Prices'!B124/'04 Prices'!B123-1</f>
        <v>-7.7590566986549758E-2</v>
      </c>
      <c r="C123" s="7">
        <f>'04 Prices'!C124/'04 Prices'!C123-1</f>
        <v>-2.1827348668084667E-2</v>
      </c>
      <c r="D123" s="7">
        <f>'04 Prices'!D124/'04 Prices'!D123-1</f>
        <v>7.7512071119454795E-2</v>
      </c>
      <c r="E123" s="7">
        <f>'04 Prices'!E124/'04 Prices'!E123-1</f>
        <v>1.7485825680573885E-2</v>
      </c>
      <c r="F123" s="7">
        <f>'04 Prices'!F124/'04 Prices'!F123-1</f>
        <v>-2.0745552343507279E-2</v>
      </c>
      <c r="G123" s="7">
        <f>'04 Prices'!G124/'04 Prices'!G123-1</f>
        <v>6.3117258780899244E-2</v>
      </c>
      <c r="H123" s="7">
        <f>'04 Prices'!H124/'04 Prices'!H123-1</f>
        <v>-3.4617930750091452E-2</v>
      </c>
      <c r="I123" s="7">
        <f>'04 Prices'!I124/'04 Prices'!I123-1</f>
        <v>3.3263224950657033E-2</v>
      </c>
      <c r="J123" s="7">
        <f>'04 Prices'!J124/'04 Prices'!J123-1</f>
        <v>-7.8943547047398699E-3</v>
      </c>
      <c r="K123" s="7">
        <f>'04 Prices'!K124/'04 Prices'!K123-1</f>
        <v>3.4378037274459983E-2</v>
      </c>
      <c r="L123" s="7">
        <f>'04 Prices'!L124/'04 Prices'!L123-1</f>
        <v>2.0271783336112126E-2</v>
      </c>
    </row>
    <row r="124" spans="1:12" x14ac:dyDescent="0.3">
      <c r="A124" s="16">
        <f>'04 Prices'!A125</f>
        <v>45930</v>
      </c>
      <c r="B124" s="7">
        <f>'04 Prices'!B125/'04 Prices'!B124-1</f>
        <v>-5.1651698442998217E-3</v>
      </c>
      <c r="C124" s="7">
        <f>'04 Prices'!C125/'04 Prices'!C124-1</f>
        <v>-4.1179007318777328E-2</v>
      </c>
      <c r="D124" s="7">
        <f>'04 Prices'!D125/'04 Prices'!D124-1</f>
        <v>1.6142782745896422E-2</v>
      </c>
      <c r="E124" s="7">
        <f>'04 Prices'!E125/'04 Prices'!E124-1</f>
        <v>4.6479996337209784E-2</v>
      </c>
      <c r="F124" s="7">
        <f>'04 Prices'!F125/'04 Prices'!F124-1</f>
        <v>7.1251197077602413E-2</v>
      </c>
      <c r="G124" s="7">
        <f>'04 Prices'!G125/'04 Prices'!G124-1</f>
        <v>2.9079130635414341E-2</v>
      </c>
      <c r="H124" s="7">
        <f>'04 Prices'!H125/'04 Prices'!H124-1</f>
        <v>-6.5430388339313805E-2</v>
      </c>
      <c r="I124" s="7">
        <f>'04 Prices'!I125/'04 Prices'!I124-1</f>
        <v>-1.3474393945725249E-2</v>
      </c>
      <c r="J124" s="7">
        <f>'04 Prices'!J125/'04 Prices'!J124-1</f>
        <v>6.2693327444357516E-2</v>
      </c>
      <c r="K124" s="7">
        <f>'04 Prices'!K125/'04 Prices'!K124-1</f>
        <v>-6.3305432326404842E-3</v>
      </c>
      <c r="L124" s="7">
        <f>'04 Prices'!L125/'04 Prices'!L124-1</f>
        <v>3.6499951666603803E-2</v>
      </c>
    </row>
    <row r="125" spans="1:12" x14ac:dyDescent="0.3">
      <c r="A125" s="16">
        <f>'04 Prices'!A126</f>
        <v>45961</v>
      </c>
      <c r="B125" s="7">
        <f>'04 Prices'!B126/'04 Prices'!B125-1</f>
        <v>0.58303977838883148</v>
      </c>
      <c r="C125" s="7">
        <f>'04 Prices'!C126/'04 Prices'!C125-1</f>
        <v>0.1122648498190657</v>
      </c>
      <c r="D125" s="7">
        <f>'04 Prices'!D126/'04 Prices'!D125-1</f>
        <v>9.7826112353539552E-2</v>
      </c>
      <c r="E125" s="7">
        <f>'04 Prices'!E126/'04 Prices'!E125-1</f>
        <v>-8.8685786016484691E-3</v>
      </c>
      <c r="F125" s="7">
        <f>'04 Prices'!F126/'04 Prices'!F125-1</f>
        <v>8.5271757580014151E-2</v>
      </c>
      <c r="G125" s="7">
        <f>'04 Prices'!G126/'04 Prices'!G125-1</f>
        <v>-3.2574531947592411E-2</v>
      </c>
      <c r="H125" s="7">
        <f>'04 Prices'!H126/'04 Prices'!H125-1</f>
        <v>3.3667746409957511E-2</v>
      </c>
      <c r="I125" s="7">
        <f>'04 Prices'!I126/'04 Prices'!I125-1</f>
        <v>1.4279302568372065E-2</v>
      </c>
      <c r="J125" s="7">
        <f>'04 Prices'!J126/'04 Prices'!J125-1</f>
        <v>-1.8241876353383257E-2</v>
      </c>
      <c r="K125" s="7">
        <f>'04 Prices'!K126/'04 Prices'!K125-1</f>
        <v>-8.0247405825828677E-2</v>
      </c>
      <c r="L125" s="7">
        <f>'04 Prices'!L126/'04 Prices'!L125-1</f>
        <v>2.3413709982780917E-2</v>
      </c>
    </row>
    <row r="126" spans="1:12" x14ac:dyDescent="0.3">
      <c r="A126" s="16">
        <f>'04 Prices'!A127</f>
        <v>45991</v>
      </c>
      <c r="B126" s="7">
        <f>'04 Prices'!B127/'04 Prices'!B126-1</f>
        <v>-0.1506715487807635</v>
      </c>
      <c r="C126" s="7">
        <f>'04 Prices'!C127/'04 Prices'!C126-1</f>
        <v>-4.5041355929098748E-2</v>
      </c>
      <c r="D126" s="7">
        <f>'04 Prices'!D127/'04 Prices'!D126-1</f>
        <v>2.3121450119532261E-2</v>
      </c>
      <c r="E126" s="7">
        <f>'04 Prices'!E127/'04 Prices'!E126-1</f>
        <v>6.2998151342144038E-3</v>
      </c>
      <c r="F126" s="7">
        <f>'04 Prices'!F127/'04 Prices'!F126-1</f>
        <v>-0.12588275497015222</v>
      </c>
      <c r="G126" s="7">
        <f>'04 Prices'!G127/'04 Prices'!G126-1</f>
        <v>6.2606092445134376E-2</v>
      </c>
      <c r="H126" s="7">
        <f>'04 Prices'!H127/'04 Prices'!H126-1</f>
        <v>-1.032925429111009E-2</v>
      </c>
      <c r="I126" s="7">
        <f>'04 Prices'!I127/'04 Prices'!I126-1</f>
        <v>2.2507006670847485E-2</v>
      </c>
      <c r="J126" s="7">
        <f>'04 Prices'!J127/'04 Prices'!J126-1</f>
        <v>9.2211943940767593E-2</v>
      </c>
      <c r="K126" s="7">
        <f>'04 Prices'!K127/'04 Prices'!K126-1</f>
        <v>3.4474039824386571E-2</v>
      </c>
      <c r="L126" s="7">
        <f>'04 Prices'!L127/'04 Prices'!L126-1</f>
        <v>2.4508748625995391E-3</v>
      </c>
    </row>
    <row r="127" spans="1:12" x14ac:dyDescent="0.3">
      <c r="A127" s="16">
        <f>'04 Prices'!A128</f>
        <v>46022</v>
      </c>
      <c r="B127" s="7">
        <f>'04 Prices'!B128/'04 Prices'!B127-1</f>
        <v>-1.5492093669451812E-2</v>
      </c>
      <c r="C127" s="7">
        <f>'04 Prices'!C128/'04 Prices'!C127-1</f>
        <v>-1.0290686409549221E-2</v>
      </c>
      <c r="D127" s="7">
        <f>'04 Prices'!D128/'04 Prices'!D127-1</f>
        <v>-1.2048165918650433E-2</v>
      </c>
      <c r="E127" s="7">
        <f>'04 Prices'!E128/'04 Prices'!E127-1</f>
        <v>2.9193898747103431E-2</v>
      </c>
      <c r="F127" s="7">
        <f>'04 Prices'!F128/'04 Prices'!F127-1</f>
        <v>5.3730906311371562E-2</v>
      </c>
      <c r="G127" s="7">
        <f>'04 Prices'!G128/'04 Prices'!G127-1</f>
        <v>-3.263400865534527E-2</v>
      </c>
      <c r="H127" s="7">
        <f>'04 Prices'!H128/'04 Prices'!H127-1</f>
        <v>7.8680230711281496E-2</v>
      </c>
      <c r="I127" s="7">
        <f>'04 Prices'!I128/'04 Prices'!I127-1</f>
        <v>3.8129820343925314E-2</v>
      </c>
      <c r="J127" s="7">
        <f>'04 Prices'!J128/'04 Prices'!J127-1</f>
        <v>1.0199159969374927E-2</v>
      </c>
      <c r="K127" s="7">
        <f>'04 Prices'!K128/'04 Prices'!K127-1</f>
        <v>-9.243579714490302E-3</v>
      </c>
      <c r="L127" s="7">
        <f>'04 Prices'!L128/'04 Prices'!L127-1</f>
        <v>6.1208739878870766E-4</v>
      </c>
    </row>
    <row r="131" spans="1:11" ht="25.95" customHeight="1" x14ac:dyDescent="0.3">
      <c r="A131" s="25" t="s">
        <v>82</v>
      </c>
      <c r="B131" s="22"/>
      <c r="C131" s="22"/>
      <c r="D131" s="22"/>
      <c r="E131" s="22"/>
      <c r="F131" s="22"/>
      <c r="G131" s="22"/>
      <c r="H131" s="22"/>
      <c r="I131" s="22"/>
      <c r="J131" s="22"/>
      <c r="K131" s="22"/>
    </row>
    <row r="132" spans="1:11" ht="30" customHeight="1" x14ac:dyDescent="0.3">
      <c r="A132" s="21" t="s">
        <v>156</v>
      </c>
      <c r="B132" s="22"/>
      <c r="C132" s="22"/>
      <c r="D132" s="22"/>
      <c r="E132" s="22"/>
      <c r="F132" s="22"/>
      <c r="G132" s="22"/>
      <c r="H132" s="22"/>
      <c r="I132" s="22"/>
      <c r="J132" s="22"/>
      <c r="K132" s="22"/>
    </row>
    <row r="133" spans="1:11" ht="30" customHeight="1" x14ac:dyDescent="0.3">
      <c r="A133" s="21" t="s">
        <v>157</v>
      </c>
      <c r="B133" s="22"/>
      <c r="C133" s="22"/>
      <c r="D133" s="22"/>
      <c r="E133" s="22"/>
      <c r="F133" s="22"/>
      <c r="G133" s="22"/>
      <c r="H133" s="22"/>
      <c r="I133" s="22"/>
      <c r="J133" s="22"/>
      <c r="K133" s="22"/>
    </row>
  </sheetData>
  <mergeCells count="5">
    <mergeCell ref="A131:K131"/>
    <mergeCell ref="A3:K3"/>
    <mergeCell ref="A1:K1"/>
    <mergeCell ref="A133:K133"/>
    <mergeCell ref="A132:K132"/>
  </mergeCells>
  <hyperlinks>
    <hyperlink ref="A2" location="'00 Start'!A1" display="Back to guide" xr:uid="{00000000-0004-0000-0600-000000000000}"/>
  </hyperlinks>
  <printOptions horizontalCentered="1"/>
  <pageMargins left="0.25" right="0.25" top="0.35" bottom="0.35" header="0.5" footer="0.5"/>
  <pageSetup paperSize="9" fitToHeight="0" orientation="landscape"/>
  <headerFooter>
    <oddFooter>&amp;CBFIN | &amp;A |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3AAB5"/>
    <pageSetUpPr fitToPage="1"/>
  </sheetPr>
  <dimension ref="A1:L133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14" width="13" customWidth="1"/>
  </cols>
  <sheetData>
    <row r="1" spans="1:12" ht="25.95" customHeight="1" x14ac:dyDescent="0.3">
      <c r="A1" s="24" t="s">
        <v>158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2" ht="15.6" x14ac:dyDescent="0.3">
      <c r="A2" s="1" t="s">
        <v>55</v>
      </c>
    </row>
    <row r="3" spans="1:12" ht="42" customHeight="1" x14ac:dyDescent="0.3">
      <c r="A3" s="21" t="s">
        <v>159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7" spans="1:12" ht="34.049999999999997" customHeight="1" x14ac:dyDescent="0.3">
      <c r="A7" s="4" t="s">
        <v>130</v>
      </c>
      <c r="B7" s="4" t="s">
        <v>131</v>
      </c>
      <c r="C7" s="4" t="s">
        <v>132</v>
      </c>
      <c r="D7" s="4" t="s">
        <v>133</v>
      </c>
      <c r="E7" s="4" t="s">
        <v>134</v>
      </c>
      <c r="F7" s="4" t="s">
        <v>135</v>
      </c>
      <c r="G7" s="4" t="s">
        <v>136</v>
      </c>
      <c r="H7" s="4" t="s">
        <v>137</v>
      </c>
      <c r="I7" s="4" t="s">
        <v>138</v>
      </c>
      <c r="J7" s="4" t="s">
        <v>139</v>
      </c>
      <c r="K7" s="4" t="s">
        <v>140</v>
      </c>
      <c r="L7" s="4" t="s">
        <v>141</v>
      </c>
    </row>
    <row r="8" spans="1:12" x14ac:dyDescent="0.3">
      <c r="A8" s="16">
        <f>'06 Returns'!A8</f>
        <v>42400</v>
      </c>
      <c r="B8" s="7">
        <f>'06 Returns'!B8-'05 Factors'!$B8</f>
        <v>-0.23354943017280583</v>
      </c>
      <c r="C8" s="7">
        <f>'06 Returns'!C8-'05 Factors'!$B8</f>
        <v>-0.13161543200197123</v>
      </c>
      <c r="D8" s="7">
        <f>'06 Returns'!D8-'05 Factors'!$B8</f>
        <v>-0.1241101268376802</v>
      </c>
      <c r="E8" s="7">
        <f>'06 Returns'!E8-'05 Factors'!$B8</f>
        <v>-9.2949491143057741E-2</v>
      </c>
      <c r="F8" s="7">
        <f>'06 Returns'!F8-'05 Factors'!$B8</f>
        <v>-0.11144731119026453</v>
      </c>
      <c r="G8" s="7">
        <f>'06 Returns'!G8-'05 Factors'!$B8</f>
        <v>-5.5552083436455249E-2</v>
      </c>
      <c r="H8" s="7">
        <f>'06 Returns'!H8-'05 Factors'!$B8</f>
        <v>-2.7168247924882591E-3</v>
      </c>
      <c r="I8" s="7">
        <f>'06 Returns'!I8-'05 Factors'!$B8</f>
        <v>-1.3830581239036132E-3</v>
      </c>
      <c r="J8" s="7">
        <f>'06 Returns'!J8-'05 Factors'!$B8</f>
        <v>8.244475160263541E-2</v>
      </c>
      <c r="K8" s="7">
        <f>'06 Returns'!K8-'05 Factors'!$B8</f>
        <v>9.4331400328293555E-2</v>
      </c>
      <c r="L8" s="7">
        <f>'06 Returns'!L8-'05 Factors'!$B8</f>
        <v>-4.9723228981001469E-2</v>
      </c>
    </row>
    <row r="9" spans="1:12" x14ac:dyDescent="0.3">
      <c r="A9" s="16">
        <f>'06 Returns'!A9</f>
        <v>42429</v>
      </c>
      <c r="B9" s="7">
        <f>'06 Returns'!B9-'05 Factors'!$B9</f>
        <v>-2.7472700672562599E-2</v>
      </c>
      <c r="C9" s="7">
        <f>'06 Returns'!C9-'05 Factors'!$B9</f>
        <v>-5.8939383590832194E-2</v>
      </c>
      <c r="D9" s="7">
        <f>'06 Returns'!D9-'05 Factors'!$B9</f>
        <v>4.753874422388258E-2</v>
      </c>
      <c r="E9" s="7">
        <f>'06 Returns'!E9-'05 Factors'!$B9</f>
        <v>-5.3981721884345378E-2</v>
      </c>
      <c r="F9" s="7">
        <f>'06 Returns'!F9-'05 Factors'!$B9</f>
        <v>7.4373440243299366E-2</v>
      </c>
      <c r="G9" s="7">
        <f>'06 Returns'!G9-'05 Factors'!$B9</f>
        <v>-1.7311164141946021E-2</v>
      </c>
      <c r="H9" s="7">
        <f>'06 Returns'!H9-'05 Factors'!$B9</f>
        <v>9.2052746208529185E-2</v>
      </c>
      <c r="I9" s="7">
        <f>'06 Returns'!I9-'05 Factors'!$B9</f>
        <v>3.8688357876699865E-2</v>
      </c>
      <c r="J9" s="7">
        <f>'06 Returns'!J9-'05 Factors'!$B9</f>
        <v>-5.0120576036696265E-4</v>
      </c>
      <c r="K9" s="7">
        <f>'06 Returns'!K9-'05 Factors'!$B9</f>
        <v>1.500937869264971E-2</v>
      </c>
      <c r="L9" s="7">
        <f>'06 Returns'!L9-'05 Factors'!$B9</f>
        <v>-1.5491069292327352E-3</v>
      </c>
    </row>
    <row r="10" spans="1:12" x14ac:dyDescent="0.3">
      <c r="A10" s="16">
        <f>'06 Returns'!A10</f>
        <v>42460</v>
      </c>
      <c r="B10" s="7">
        <f>'06 Returns'!B10-'05 Factors'!$B10</f>
        <v>0.33157559108726198</v>
      </c>
      <c r="C10" s="7">
        <f>'06 Returns'!C10-'05 Factors'!$B10</f>
        <v>7.4222637974384859E-2</v>
      </c>
      <c r="D10" s="7">
        <f>'06 Returns'!D10-'05 Factors'!$B10</f>
        <v>7.8936715349465086E-2</v>
      </c>
      <c r="E10" s="7">
        <f>'06 Returns'!E10-'05 Factors'!$B10</f>
        <v>5.1665279208419991E-2</v>
      </c>
      <c r="F10" s="7">
        <f>'06 Returns'!F10-'05 Factors'!$B10</f>
        <v>0.13596080634729854</v>
      </c>
      <c r="G10" s="7">
        <f>'06 Returns'!G10-'05 Factors'!$B10</f>
        <v>-1.2111732846671551E-3</v>
      </c>
      <c r="H10" s="7">
        <f>'06 Returns'!H10-'05 Factors'!$B10</f>
        <v>4.8620891692030523E-2</v>
      </c>
      <c r="I10" s="7">
        <f>'06 Returns'!I10-'05 Factors'!$B10</f>
        <v>4.2719076996423834E-2</v>
      </c>
      <c r="J10" s="7">
        <f>'06 Returns'!J10-'05 Factors'!$B10</f>
        <v>3.9851606793101159E-2</v>
      </c>
      <c r="K10" s="7">
        <f>'06 Returns'!K10-'05 Factors'!$B10</f>
        <v>6.5835722410481939E-2</v>
      </c>
      <c r="L10" s="7">
        <f>'06 Returns'!L10-'05 Factors'!$B10</f>
        <v>6.7637324129022208E-2</v>
      </c>
    </row>
    <row r="11" spans="1:12" x14ac:dyDescent="0.3">
      <c r="A11" s="16">
        <f>'06 Returns'!A11</f>
        <v>42490</v>
      </c>
      <c r="B11" s="7">
        <f>'06 Returns'!B11-'05 Factors'!$B11</f>
        <v>0.24551406004007448</v>
      </c>
      <c r="C11" s="7">
        <f>'06 Returns'!C11-'05 Factors'!$B11</f>
        <v>0.1109942894196254</v>
      </c>
      <c r="D11" s="7">
        <f>'06 Returns'!D11-'05 Factors'!$B11</f>
        <v>1.5423054978758389E-2</v>
      </c>
      <c r="E11" s="7">
        <f>'06 Returns'!E11-'05 Factors'!$B11</f>
        <v>7.5008019622234454E-2</v>
      </c>
      <c r="F11" s="7">
        <f>'06 Returns'!F11-'05 Factors'!$B11</f>
        <v>-2.9066123093323235E-3</v>
      </c>
      <c r="G11" s="7">
        <f>'06 Returns'!G11-'05 Factors'!$B11</f>
        <v>0.10347610985466725</v>
      </c>
      <c r="H11" s="7">
        <f>'06 Returns'!H11-'05 Factors'!$B11</f>
        <v>-3.3887014923529982E-2</v>
      </c>
      <c r="I11" s="7">
        <f>'06 Returns'!I11-'05 Factors'!$B11</f>
        <v>5.7442751485895269E-2</v>
      </c>
      <c r="J11" s="7">
        <f>'06 Returns'!J11-'05 Factors'!$B11</f>
        <v>-2.3753053961148029E-2</v>
      </c>
      <c r="K11" s="7">
        <f>'06 Returns'!K11-'05 Factors'!$B11</f>
        <v>-4.8219285758412403E-2</v>
      </c>
      <c r="L11" s="7">
        <f>'06 Returns'!L11-'05 Factors'!$B11</f>
        <v>3.7779624057745378E-3</v>
      </c>
    </row>
    <row r="12" spans="1:12" x14ac:dyDescent="0.3">
      <c r="A12" s="16">
        <f>'06 Returns'!A12</f>
        <v>42521</v>
      </c>
      <c r="B12" s="7">
        <f>'06 Returns'!B12-'05 Factors'!$B12</f>
        <v>0.28722400930693226</v>
      </c>
      <c r="C12" s="7">
        <f>'06 Returns'!C12-'05 Factors'!$B12</f>
        <v>9.5717094405436839E-2</v>
      </c>
      <c r="D12" s="7">
        <f>'06 Returns'!D12-'05 Factors'!$B12</f>
        <v>-5.2625386586489077E-3</v>
      </c>
      <c r="E12" s="7">
        <f>'06 Returns'!E12-'05 Factors'!$B12</f>
        <v>3.2653314201875214E-2</v>
      </c>
      <c r="F12" s="7">
        <f>'06 Returns'!F12-'05 Factors'!$B12</f>
        <v>0.31825946608573386</v>
      </c>
      <c r="G12" s="7">
        <f>'06 Returns'!G12-'05 Factors'!$B12</f>
        <v>7.023748381141702E-2</v>
      </c>
      <c r="H12" s="7">
        <f>'06 Returns'!H12-'05 Factors'!$B12</f>
        <v>-0.12833481650451573</v>
      </c>
      <c r="I12" s="7">
        <f>'06 Returns'!I12-'05 Factors'!$B12</f>
        <v>1.5377223865552504E-2</v>
      </c>
      <c r="J12" s="7">
        <f>'06 Returns'!J12-'05 Factors'!$B12</f>
        <v>6.6121738904834068E-2</v>
      </c>
      <c r="K12" s="7">
        <f>'06 Returns'!K12-'05 Factors'!$B12</f>
        <v>-8.8487917065206419E-4</v>
      </c>
      <c r="L12" s="7">
        <f>'06 Returns'!L12-'05 Factors'!$B12</f>
        <v>1.7857236631596319E-2</v>
      </c>
    </row>
    <row r="13" spans="1:12" x14ac:dyDescent="0.3">
      <c r="A13" s="16">
        <f>'06 Returns'!A13</f>
        <v>42551</v>
      </c>
      <c r="B13" s="7">
        <f>'06 Returns'!B13-'05 Factors'!$B13</f>
        <v>0.12452640556224612</v>
      </c>
      <c r="C13" s="7">
        <f>'06 Returns'!C13-'05 Factors'!$B13</f>
        <v>-1.0119933525093572E-2</v>
      </c>
      <c r="D13" s="7">
        <f>'06 Returns'!D13-'05 Factors'!$B13</f>
        <v>-6.8398522910150278E-2</v>
      </c>
      <c r="E13" s="7">
        <f>'06 Returns'!E13-'05 Factors'!$B13</f>
        <v>-4.8154839862946684E-2</v>
      </c>
      <c r="F13" s="7">
        <f>'06 Returns'!F13-'05 Factors'!$B13</f>
        <v>6.007278206070033E-3</v>
      </c>
      <c r="G13" s="7">
        <f>'06 Returns'!G13-'05 Factors'!$B13</f>
        <v>1.4497802743124377E-2</v>
      </c>
      <c r="H13" s="7">
        <f>'06 Returns'!H13-'05 Factors'!$B13</f>
        <v>1.4920358225195307E-2</v>
      </c>
      <c r="I13" s="7">
        <f>'06 Returns'!I13-'05 Factors'!$B13</f>
        <v>5.282179475499247E-2</v>
      </c>
      <c r="J13" s="7">
        <f>'06 Returns'!J13-'05 Factors'!$B13</f>
        <v>3.1446984495472986E-2</v>
      </c>
      <c r="K13" s="7">
        <f>'06 Returns'!K13-'05 Factors'!$B13</f>
        <v>9.6852961739305438E-2</v>
      </c>
      <c r="L13" s="7">
        <f>'06 Returns'!L13-'05 Factors'!$B13</f>
        <v>2.3922535394786727E-3</v>
      </c>
    </row>
    <row r="14" spans="1:12" x14ac:dyDescent="0.3">
      <c r="A14" s="16">
        <f>'06 Returns'!A14</f>
        <v>42582</v>
      </c>
      <c r="B14" s="7">
        <f>'06 Returns'!B14-'05 Factors'!$B14</f>
        <v>0.33443041083589597</v>
      </c>
      <c r="C14" s="7">
        <f>'06 Returns'!C14-'05 Factors'!$B14</f>
        <v>6.0153266508070825E-2</v>
      </c>
      <c r="D14" s="7">
        <f>'06 Returns'!D14-'05 Factors'!$B14</f>
        <v>1.8003117099692136E-2</v>
      </c>
      <c r="E14" s="7">
        <f>'06 Returns'!E14-'05 Factors'!$B14</f>
        <v>3.7263723973953923E-2</v>
      </c>
      <c r="F14" s="7">
        <f>'06 Returns'!F14-'05 Factors'!$B14</f>
        <v>0.2144355900485819</v>
      </c>
      <c r="G14" s="7">
        <f>'06 Returns'!G14-'05 Factors'!$B14</f>
        <v>4.7513364343532573E-2</v>
      </c>
      <c r="H14" s="7">
        <f>'06 Returns'!H14-'05 Factors'!$B14</f>
        <v>7.8717347713998159E-2</v>
      </c>
      <c r="I14" s="7">
        <f>'06 Returns'!I14-'05 Factors'!$B14</f>
        <v>-5.1298574660301098E-2</v>
      </c>
      <c r="J14" s="7">
        <f>'06 Returns'!J14-'05 Factors'!$B14</f>
        <v>-8.8448382059005384E-4</v>
      </c>
      <c r="K14" s="7">
        <f>'06 Returns'!K14-'05 Factors'!$B14</f>
        <v>2.1170750446628307E-3</v>
      </c>
      <c r="L14" s="7">
        <f>'06 Returns'!L14-'05 Factors'!$B14</f>
        <v>3.6667959639248494E-2</v>
      </c>
    </row>
    <row r="15" spans="1:12" x14ac:dyDescent="0.3">
      <c r="A15" s="16">
        <f>'06 Returns'!A15</f>
        <v>42613</v>
      </c>
      <c r="B15" s="7">
        <f>'06 Returns'!B15-'05 Factors'!$B15</f>
        <v>7.8517194074412239E-2</v>
      </c>
      <c r="C15" s="7">
        <f>'06 Returns'!C15-'05 Factors'!$B15</f>
        <v>1.3439826925767151E-2</v>
      </c>
      <c r="D15" s="7">
        <f>'06 Returns'!D15-'05 Factors'!$B15</f>
        <v>-4.9394278598222869E-3</v>
      </c>
      <c r="E15" s="7">
        <f>'06 Returns'!E15-'05 Factors'!$B15</f>
        <v>5.498219037630301E-2</v>
      </c>
      <c r="F15" s="7">
        <f>'06 Returns'!F15-'05 Factors'!$B15</f>
        <v>7.6035342027459957E-2</v>
      </c>
      <c r="G15" s="7">
        <f>'06 Returns'!G15-'05 Factors'!$B15</f>
        <v>-4.901306272420216E-2</v>
      </c>
      <c r="H15" s="7">
        <f>'06 Returns'!H15-'05 Factors'!$B15</f>
        <v>-6.0999660283036182E-2</v>
      </c>
      <c r="I15" s="7">
        <f>'06 Returns'!I15-'05 Factors'!$B15</f>
        <v>-1.2194717159978352E-2</v>
      </c>
      <c r="J15" s="7">
        <f>'06 Returns'!J15-'05 Factors'!$B15</f>
        <v>-1.4465788319123174E-2</v>
      </c>
      <c r="K15" s="7">
        <f>'06 Returns'!K15-'05 Factors'!$B15</f>
        <v>-5.578547817057402E-2</v>
      </c>
      <c r="L15" s="7">
        <f>'06 Returns'!L15-'05 Factors'!$B15</f>
        <v>1.2048510683579706E-3</v>
      </c>
    </row>
    <row r="16" spans="1:12" x14ac:dyDescent="0.3">
      <c r="A16" s="16">
        <f>'06 Returns'!A16</f>
        <v>42643</v>
      </c>
      <c r="B16" s="7">
        <f>'06 Returns'!B16-'05 Factors'!$B16</f>
        <v>-6.6416248870940137E-2</v>
      </c>
      <c r="C16" s="7">
        <f>'06 Returns'!C16-'05 Factors'!$B16</f>
        <v>8.8403182809214192E-2</v>
      </c>
      <c r="D16" s="7">
        <f>'06 Returns'!D16-'05 Factors'!$B16</f>
        <v>-4.2263547853474769E-2</v>
      </c>
      <c r="E16" s="7">
        <f>'06 Returns'!E16-'05 Factors'!$B16</f>
        <v>-1.3681655133855353E-2</v>
      </c>
      <c r="F16" s="7">
        <f>'06 Returns'!F16-'05 Factors'!$B16</f>
        <v>0.11685244678957993</v>
      </c>
      <c r="G16" s="7">
        <f>'06 Returns'!G16-'05 Factors'!$B16</f>
        <v>-2.692405281827339E-2</v>
      </c>
      <c r="H16" s="7">
        <f>'06 Returns'!H16-'05 Factors'!$B16</f>
        <v>-2.1712947376167933E-2</v>
      </c>
      <c r="I16" s="7">
        <f>'06 Returns'!I16-'05 Factors'!$B16</f>
        <v>1.4063987854653127E-3</v>
      </c>
      <c r="J16" s="7">
        <f>'06 Returns'!J16-'05 Factors'!$B16</f>
        <v>9.3186440439072312E-3</v>
      </c>
      <c r="K16" s="7">
        <f>'06 Returns'!K16-'05 Factors'!$B16</f>
        <v>-6.8881339520760138E-3</v>
      </c>
      <c r="L16" s="7">
        <f>'06 Returns'!L16-'05 Factors'!$B16</f>
        <v>-1.3115212108805006E-5</v>
      </c>
    </row>
    <row r="17" spans="1:12" x14ac:dyDescent="0.3">
      <c r="A17" s="16">
        <f>'06 Returns'!A17</f>
        <v>42674</v>
      </c>
      <c r="B17" s="7">
        <f>'06 Returns'!B17-'05 Factors'!$B17</f>
        <v>4.6109721957511042E-2</v>
      </c>
      <c r="C17" s="7">
        <f>'06 Returns'!C17-'05 Factors'!$B17</f>
        <v>-5.6917349487768852E-2</v>
      </c>
      <c r="D17" s="7">
        <f>'06 Returns'!D17-'05 Factors'!$B17</f>
        <v>-1.5422630850187269E-2</v>
      </c>
      <c r="E17" s="7">
        <f>'06 Returns'!E17-'05 Factors'!$B17</f>
        <v>4.7457075754030666E-2</v>
      </c>
      <c r="F17" s="7">
        <f>'06 Returns'!F17-'05 Factors'!$B17</f>
        <v>3.8328709637140725E-2</v>
      </c>
      <c r="G17" s="7">
        <f>'06 Returns'!G17-'05 Factors'!$B17</f>
        <v>-6.3973228968229573E-2</v>
      </c>
      <c r="H17" s="7">
        <f>'06 Returns'!H17-'05 Factors'!$B17</f>
        <v>5.278351120110216E-4</v>
      </c>
      <c r="I17" s="7">
        <f>'06 Returns'!I17-'05 Factors'!$B17</f>
        <v>-4.5571350223629258E-2</v>
      </c>
      <c r="J17" s="7">
        <f>'06 Returns'!J17-'05 Factors'!$B17</f>
        <v>-2.9318452205855071E-2</v>
      </c>
      <c r="K17" s="7">
        <f>'06 Returns'!K17-'05 Factors'!$B17</f>
        <v>-6.4291271418765034E-2</v>
      </c>
      <c r="L17" s="7">
        <f>'06 Returns'!L17-'05 Factors'!$B17</f>
        <v>-1.8440492723059053E-2</v>
      </c>
    </row>
    <row r="18" spans="1:12" x14ac:dyDescent="0.3">
      <c r="A18" s="16">
        <f>'06 Returns'!A18</f>
        <v>42704</v>
      </c>
      <c r="B18" s="7">
        <f>'06 Returns'!B18-'05 Factors'!$B18</f>
        <v>0.23226512087258611</v>
      </c>
      <c r="C18" s="7">
        <f>'06 Returns'!C18-'05 Factors'!$B18</f>
        <v>-4.9794904403142951E-2</v>
      </c>
      <c r="D18" s="7">
        <f>'06 Returns'!D18-'05 Factors'!$B18</f>
        <v>1.8639698614401502E-2</v>
      </c>
      <c r="E18" s="7">
        <f>'06 Returns'!E18-'05 Factors'!$B18</f>
        <v>0.15742238380525375</v>
      </c>
      <c r="F18" s="7">
        <f>'06 Returns'!F18-'05 Factors'!$B18</f>
        <v>0.29751187036145055</v>
      </c>
      <c r="G18" s="7">
        <f>'06 Returns'!G18-'05 Factors'!$B18</f>
        <v>2.3568942766038371E-2</v>
      </c>
      <c r="H18" s="7">
        <f>'06 Returns'!H18-'05 Factors'!$B18</f>
        <v>0.13324857982739302</v>
      </c>
      <c r="I18" s="7">
        <f>'06 Returns'!I18-'05 Factors'!$B18</f>
        <v>5.6945625273968389E-2</v>
      </c>
      <c r="J18" s="7">
        <f>'06 Returns'!J18-'05 Factors'!$B18</f>
        <v>5.7557311782352348E-3</v>
      </c>
      <c r="K18" s="7">
        <f>'06 Returns'!K18-'05 Factors'!$B18</f>
        <v>3.732194528668574E-2</v>
      </c>
      <c r="L18" s="7">
        <f>'06 Returns'!L18-'05 Factors'!$B18</f>
        <v>3.6935137353787159E-2</v>
      </c>
    </row>
    <row r="19" spans="1:12" x14ac:dyDescent="0.3">
      <c r="A19" s="16">
        <f>'06 Returns'!A19</f>
        <v>42735</v>
      </c>
      <c r="B19" s="7">
        <f>'06 Returns'!B19-'05 Factors'!$B19</f>
        <v>0.27242731165044426</v>
      </c>
      <c r="C19" s="7">
        <f>'06 Returns'!C19-'05 Factors'!$B19</f>
        <v>-1.2326204822993621E-3</v>
      </c>
      <c r="D19" s="7">
        <f>'06 Returns'!D19-'05 Factors'!$B19</f>
        <v>1.3913809941471922E-2</v>
      </c>
      <c r="E19" s="7">
        <f>'06 Returns'!E19-'05 Factors'!$B19</f>
        <v>7.6037603222351063E-2</v>
      </c>
      <c r="F19" s="7">
        <f>'06 Returns'!F19-'05 Factors'!$B19</f>
        <v>0.15740020084339787</v>
      </c>
      <c r="G19" s="7">
        <f>'06 Returns'!G19-'05 Factors'!$B19</f>
        <v>1.0278697469651122E-2</v>
      </c>
      <c r="H19" s="7">
        <f>'06 Returns'!H19-'05 Factors'!$B19</f>
        <v>-6.5162840254796156E-2</v>
      </c>
      <c r="I19" s="7">
        <f>'06 Returns'!I19-'05 Factors'!$B19</f>
        <v>3.3606065653672933E-2</v>
      </c>
      <c r="J19" s="7">
        <f>'06 Returns'!J19-'05 Factors'!$B19</f>
        <v>-1.1875881428282253E-2</v>
      </c>
      <c r="K19" s="7">
        <f>'06 Returns'!K19-'05 Factors'!$B19</f>
        <v>6.943961118705963E-2</v>
      </c>
      <c r="L19" s="7">
        <f>'06 Returns'!L19-'05 Factors'!$B19</f>
        <v>1.9465374837279469E-2</v>
      </c>
    </row>
    <row r="20" spans="1:12" x14ac:dyDescent="0.3">
      <c r="A20" s="16">
        <f>'06 Returns'!A20</f>
        <v>42766</v>
      </c>
      <c r="B20" s="7">
        <f>'06 Returns'!B20-'05 Factors'!$B20</f>
        <v>-8.5937941265159565E-2</v>
      </c>
      <c r="C20" s="7">
        <f>'06 Returns'!C20-'05 Factors'!$B20</f>
        <v>9.7763683157394213E-2</v>
      </c>
      <c r="D20" s="7">
        <f>'06 Returns'!D20-'05 Factors'!$B20</f>
        <v>3.4982982122013964E-2</v>
      </c>
      <c r="E20" s="7">
        <f>'06 Returns'!E20-'05 Factors'!$B20</f>
        <v>-1.4210385260756618E-2</v>
      </c>
      <c r="F20" s="7">
        <f>'06 Returns'!F20-'05 Factors'!$B20</f>
        <v>2.2459603680340567E-2</v>
      </c>
      <c r="G20" s="7">
        <f>'06 Returns'!G20-'05 Factors'!$B20</f>
        <v>-2.3491136690119308E-2</v>
      </c>
      <c r="H20" s="7">
        <f>'06 Returns'!H20-'05 Factors'!$B20</f>
        <v>-0.10769613369735424</v>
      </c>
      <c r="I20" s="7">
        <f>'06 Returns'!I20-'05 Factors'!$B20</f>
        <v>-7.0973815105456015E-2</v>
      </c>
      <c r="J20" s="7">
        <f>'06 Returns'!J20-'05 Factors'!$B20</f>
        <v>-3.4833024341616878E-2</v>
      </c>
      <c r="K20" s="7">
        <f>'06 Returns'!K20-'05 Factors'!$B20</f>
        <v>-7.2449768138957024E-2</v>
      </c>
      <c r="L20" s="7">
        <f>'06 Returns'!L20-'05 Factors'!$B20</f>
        <v>1.8566194877960029E-2</v>
      </c>
    </row>
    <row r="21" spans="1:12" x14ac:dyDescent="0.3">
      <c r="A21" s="16">
        <f>'06 Returns'!A21</f>
        <v>42794</v>
      </c>
      <c r="B21" s="7">
        <f>'06 Returns'!B21-'05 Factors'!$B21</f>
        <v>0.39400696216202075</v>
      </c>
      <c r="C21" s="7">
        <f>'06 Returns'!C21-'05 Factors'!$B21</f>
        <v>2.5781549535929881E-2</v>
      </c>
      <c r="D21" s="7">
        <f>'06 Returns'!D21-'05 Factors'!$B21</f>
        <v>1.3354053173852477E-2</v>
      </c>
      <c r="E21" s="7">
        <f>'06 Returns'!E21-'05 Factors'!$B21</f>
        <v>7.0378503695720698E-2</v>
      </c>
      <c r="F21" s="7">
        <f>'06 Returns'!F21-'05 Factors'!$B21</f>
        <v>-6.9752750914140724E-2</v>
      </c>
      <c r="G21" s="7">
        <f>'06 Returns'!G21-'05 Factors'!$B21</f>
        <v>8.5878444428873338E-2</v>
      </c>
      <c r="H21" s="7">
        <f>'06 Returns'!H21-'05 Factors'!$B21</f>
        <v>-8.0557876045633067E-2</v>
      </c>
      <c r="I21" s="7">
        <f>'06 Returns'!I21-'05 Factors'!$B21</f>
        <v>-2.2171212281657349E-2</v>
      </c>
      <c r="J21" s="7">
        <f>'06 Returns'!J21-'05 Factors'!$B21</f>
        <v>6.2381029658416146E-2</v>
      </c>
      <c r="K21" s="7">
        <f>'06 Returns'!K21-'05 Factors'!$B21</f>
        <v>1.2250605552196215E-2</v>
      </c>
      <c r="L21" s="7">
        <f>'06 Returns'!L21-'05 Factors'!$B21</f>
        <v>3.930817876547317E-2</v>
      </c>
    </row>
    <row r="22" spans="1:12" x14ac:dyDescent="0.3">
      <c r="A22" s="16">
        <f>'06 Returns'!A22</f>
        <v>42825</v>
      </c>
      <c r="B22" s="7">
        <f>'06 Returns'!B22-'05 Factors'!$B22</f>
        <v>5.924076926892197E-3</v>
      </c>
      <c r="C22" s="7">
        <f>'06 Returns'!C22-'05 Factors'!$B22</f>
        <v>4.8810120629848984E-2</v>
      </c>
      <c r="D22" s="7">
        <f>'06 Returns'!D22-'05 Factors'!$B22</f>
        <v>-7.1329694593785714E-2</v>
      </c>
      <c r="E22" s="7">
        <f>'06 Returns'!E22-'05 Factors'!$B22</f>
        <v>-3.0977510103222618E-2</v>
      </c>
      <c r="F22" s="7">
        <f>'06 Returns'!F22-'05 Factors'!$B22</f>
        <v>7.311354069372486E-2</v>
      </c>
      <c r="G22" s="7">
        <f>'06 Returns'!G22-'05 Factors'!$B22</f>
        <v>2.3374755111944204E-3</v>
      </c>
      <c r="H22" s="7">
        <f>'06 Returns'!H22-'05 Factors'!$B22</f>
        <v>-6.121556881312943E-2</v>
      </c>
      <c r="I22" s="7">
        <f>'06 Returns'!I22-'05 Factors'!$B22</f>
        <v>8.1848619911881419E-3</v>
      </c>
      <c r="J22" s="7">
        <f>'06 Returns'!J22-'05 Factors'!$B22</f>
        <v>2.3385453541999023E-2</v>
      </c>
      <c r="K22" s="7">
        <f>'06 Returns'!K22-'05 Factors'!$B22</f>
        <v>-1.8030926401234861E-2</v>
      </c>
      <c r="L22" s="7">
        <f>'06 Returns'!L22-'05 Factors'!$B22</f>
        <v>8.647620755796951E-4</v>
      </c>
    </row>
    <row r="23" spans="1:12" x14ac:dyDescent="0.3">
      <c r="A23" s="16">
        <f>'06 Returns'!A23</f>
        <v>42855</v>
      </c>
      <c r="B23" s="7">
        <f>'06 Returns'!B23-'05 Factors'!$B23</f>
        <v>-8.6410651794971705E-2</v>
      </c>
      <c r="C23" s="7">
        <f>'06 Returns'!C23-'05 Factors'!$B23</f>
        <v>4.2870871589766935E-2</v>
      </c>
      <c r="D23" s="7">
        <f>'06 Returns'!D23-'05 Factors'!$B23</f>
        <v>-1.8245637359664553E-3</v>
      </c>
      <c r="E23" s="7">
        <f>'06 Returns'!E23-'05 Factors'!$B23</f>
        <v>-4.3720578158937262E-3</v>
      </c>
      <c r="F23" s="7">
        <f>'06 Returns'!F23-'05 Factors'!$B23</f>
        <v>-4.3004785738504914E-2</v>
      </c>
      <c r="G23" s="7">
        <f>'06 Returns'!G23-'05 Factors'!$B23</f>
        <v>-8.9769627691138054E-3</v>
      </c>
      <c r="H23" s="7">
        <f>'06 Returns'!H23-'05 Factors'!$B23</f>
        <v>1.1458592593526828E-2</v>
      </c>
      <c r="I23" s="7">
        <f>'06 Returns'!I23-'05 Factors'!$B23</f>
        <v>-4.8897155308555429E-3</v>
      </c>
      <c r="J23" s="7">
        <f>'06 Returns'!J23-'05 Factors'!$B23</f>
        <v>4.2507496411725965E-2</v>
      </c>
      <c r="K23" s="7">
        <f>'06 Returns'!K23-'05 Factors'!$B23</f>
        <v>-4.7520248880902061E-2</v>
      </c>
      <c r="L23" s="7">
        <f>'06 Returns'!L23-'05 Factors'!$B23</f>
        <v>9.7705391952260245E-3</v>
      </c>
    </row>
    <row r="24" spans="1:12" x14ac:dyDescent="0.3">
      <c r="A24" s="16">
        <f>'06 Returns'!A24</f>
        <v>42886</v>
      </c>
      <c r="B24" s="7">
        <f>'06 Returns'!B24-'05 Factors'!$B24</f>
        <v>-0.15924666015384076</v>
      </c>
      <c r="C24" s="7">
        <f>'06 Returns'!C24-'05 Factors'!$B24</f>
        <v>7.4676461313561468E-2</v>
      </c>
      <c r="D24" s="7">
        <f>'06 Returns'!D24-'05 Factors'!$B24</f>
        <v>-3.1114359902164889E-2</v>
      </c>
      <c r="E24" s="7">
        <f>'06 Returns'!E24-'05 Factors'!$B24</f>
        <v>-5.6346912361943072E-2</v>
      </c>
      <c r="F24" s="7">
        <f>'06 Returns'!F24-'05 Factors'!$B24</f>
        <v>0.38484662087559179</v>
      </c>
      <c r="G24" s="7">
        <f>'06 Returns'!G24-'05 Factors'!$B24</f>
        <v>-2.872410073089E-2</v>
      </c>
      <c r="H24" s="7">
        <f>'06 Returns'!H24-'05 Factors'!$B24</f>
        <v>-2.4002210394604255E-3</v>
      </c>
      <c r="I24" s="7">
        <f>'06 Returns'!I24-'05 Factors'!$B24</f>
        <v>-5.3743778985376293E-3</v>
      </c>
      <c r="J24" s="7">
        <f>'06 Returns'!J24-'05 Factors'!$B24</f>
        <v>5.1887341100492909E-2</v>
      </c>
      <c r="K24" s="7">
        <f>'06 Returns'!K24-'05 Factors'!$B24</f>
        <v>1.5300926749549349E-2</v>
      </c>
      <c r="L24" s="7">
        <f>'06 Returns'!L24-'05 Factors'!$B24</f>
        <v>1.3472531092533591E-2</v>
      </c>
    </row>
    <row r="25" spans="1:12" x14ac:dyDescent="0.3">
      <c r="A25" s="16">
        <f>'06 Returns'!A25</f>
        <v>42916</v>
      </c>
      <c r="B25" s="7">
        <f>'06 Returns'!B25-'05 Factors'!$B25</f>
        <v>0.11468150224951905</v>
      </c>
      <c r="C25" s="7">
        <f>'06 Returns'!C25-'05 Factors'!$B25</f>
        <v>-2.7363939875609988E-2</v>
      </c>
      <c r="D25" s="7">
        <f>'06 Returns'!D25-'05 Factors'!$B25</f>
        <v>5.6950422566756538E-3</v>
      </c>
      <c r="E25" s="7">
        <f>'06 Returns'!E25-'05 Factors'!$B25</f>
        <v>0.11199867755237285</v>
      </c>
      <c r="F25" s="7">
        <f>'06 Returns'!F25-'05 Factors'!$B25</f>
        <v>8.5472290908776896E-4</v>
      </c>
      <c r="G25" s="7">
        <f>'06 Returns'!G25-'05 Factors'!$B25</f>
        <v>2.8190425899137606E-2</v>
      </c>
      <c r="H25" s="7">
        <f>'06 Returns'!H25-'05 Factors'!$B25</f>
        <v>-5.2458250654182817E-2</v>
      </c>
      <c r="I25" s="7">
        <f>'06 Returns'!I25-'05 Factors'!$B25</f>
        <v>2.2575018391163722E-3</v>
      </c>
      <c r="J25" s="7">
        <f>'06 Returns'!J25-'05 Factors'!$B25</f>
        <v>-3.7750263498501482E-2</v>
      </c>
      <c r="K25" s="7">
        <f>'06 Returns'!K25-'05 Factors'!$B25</f>
        <v>-4.3052965287205217E-2</v>
      </c>
      <c r="L25" s="7">
        <f>'06 Returns'!L25-'05 Factors'!$B25</f>
        <v>5.6417505506746631E-3</v>
      </c>
    </row>
    <row r="26" spans="1:12" x14ac:dyDescent="0.3">
      <c r="A26" s="16">
        <f>'06 Returns'!A26</f>
        <v>42947</v>
      </c>
      <c r="B26" s="7">
        <f>'06 Returns'!B26-'05 Factors'!$B26</f>
        <v>8.9844884290981281E-2</v>
      </c>
      <c r="C26" s="7">
        <f>'06 Returns'!C26-'05 Factors'!$B26</f>
        <v>1.9733850866115489E-2</v>
      </c>
      <c r="D26" s="7">
        <f>'06 Returns'!D26-'05 Factors'!$B26</f>
        <v>1.4857767489551289E-2</v>
      </c>
      <c r="E26" s="7">
        <f>'06 Returns'!E26-'05 Factors'!$B26</f>
        <v>9.2007242026238903E-3</v>
      </c>
      <c r="F26" s="7">
        <f>'06 Returns'!F26-'05 Factors'!$B26</f>
        <v>0.12347020755530416</v>
      </c>
      <c r="G26" s="7">
        <f>'06 Returns'!G26-'05 Factors'!$B26</f>
        <v>-1.3501330371079666E-2</v>
      </c>
      <c r="H26" s="7">
        <f>'06 Returns'!H26-'05 Factors'!$B26</f>
        <v>8.3063100145415542E-2</v>
      </c>
      <c r="I26" s="7">
        <f>'06 Returns'!I26-'05 Factors'!$B26</f>
        <v>-9.2470878446207702E-3</v>
      </c>
      <c r="J26" s="7">
        <f>'06 Returns'!J26-'05 Factors'!$B26</f>
        <v>5.6250644044783783E-2</v>
      </c>
      <c r="K26" s="7">
        <f>'06 Returns'!K26-'05 Factors'!$B26</f>
        <v>9.7257084836170599E-2</v>
      </c>
      <c r="L26" s="7">
        <f>'06 Returns'!L26-'05 Factors'!$B26</f>
        <v>1.986280365797969E-2</v>
      </c>
    </row>
    <row r="27" spans="1:12" x14ac:dyDescent="0.3">
      <c r="A27" s="16">
        <f>'06 Returns'!A27</f>
        <v>42978</v>
      </c>
      <c r="B27" s="7">
        <f>'06 Returns'!B27-'05 Factors'!$B27</f>
        <v>-4.5719961211366109E-2</v>
      </c>
      <c r="C27" s="7">
        <f>'06 Returns'!C27-'05 Factors'!$B27</f>
        <v>-8.1688485319281069E-3</v>
      </c>
      <c r="D27" s="7">
        <f>'06 Returns'!D27-'05 Factors'!$B27</f>
        <v>-1.7834074369266862E-2</v>
      </c>
      <c r="E27" s="7">
        <f>'06 Returns'!E27-'05 Factors'!$B27</f>
        <v>-1.0812562286090942E-2</v>
      </c>
      <c r="F27" s="7">
        <f>'06 Returns'!F27-'05 Factors'!$B27</f>
        <v>4.2661519530718631E-2</v>
      </c>
      <c r="G27" s="7">
        <f>'06 Returns'!G27-'05 Factors'!$B27</f>
        <v>3.2010649402169591E-2</v>
      </c>
      <c r="H27" s="7">
        <f>'06 Returns'!H27-'05 Factors'!$B27</f>
        <v>-2.7821179793270357E-2</v>
      </c>
      <c r="I27" s="7">
        <f>'06 Returns'!I27-'05 Factors'!$B27</f>
        <v>-3.8008272379727578E-2</v>
      </c>
      <c r="J27" s="7">
        <f>'06 Returns'!J27-'05 Factors'!$B27</f>
        <v>-1.8764110361355158E-2</v>
      </c>
      <c r="K27" s="7">
        <f>'06 Returns'!K27-'05 Factors'!$B27</f>
        <v>-9.784186330822885E-3</v>
      </c>
      <c r="L27" s="7">
        <f>'06 Returns'!L27-'05 Factors'!$B27</f>
        <v>2.1620867704234114E-3</v>
      </c>
    </row>
    <row r="28" spans="1:12" x14ac:dyDescent="0.3">
      <c r="A28" s="16">
        <f>'06 Returns'!A28</f>
        <v>43008</v>
      </c>
      <c r="B28" s="7">
        <f>'06 Returns'!B28-'05 Factors'!$B28</f>
        <v>-2.0130769230769275E-2</v>
      </c>
      <c r="C28" s="7">
        <f>'06 Returns'!C28-'05 Factors'!$B28</f>
        <v>-2.0530792069412763E-2</v>
      </c>
      <c r="D28" s="7">
        <f>'06 Returns'!D28-'05 Factors'!$B28</f>
        <v>8.4322283207282647E-2</v>
      </c>
      <c r="E28" s="7">
        <f>'06 Returns'!E28-'05 Factors'!$B28</f>
        <v>4.9930778584550986E-2</v>
      </c>
      <c r="F28" s="7">
        <f>'06 Returns'!F28-'05 Factors'!$B28</f>
        <v>5.4163412538697289E-2</v>
      </c>
      <c r="G28" s="7">
        <f>'06 Returns'!G28-'05 Factors'!$B28</f>
        <v>5.1576540927732353E-2</v>
      </c>
      <c r="H28" s="7">
        <f>'06 Returns'!H28-'05 Factors'!$B28</f>
        <v>8.1256618963986851E-2</v>
      </c>
      <c r="I28" s="7">
        <f>'06 Returns'!I28-'05 Factors'!$B28</f>
        <v>7.3120310688341475E-2</v>
      </c>
      <c r="J28" s="7">
        <f>'06 Returns'!J28-'05 Factors'!$B28</f>
        <v>-3.3873822734445478E-6</v>
      </c>
      <c r="K28" s="7">
        <f>'06 Returns'!K28-'05 Factors'!$B28</f>
        <v>3.0787006006560379E-2</v>
      </c>
      <c r="L28" s="7">
        <f>'06 Returns'!L28-'05 Factors'!$B28</f>
        <v>1.9727755781585265E-2</v>
      </c>
    </row>
    <row r="29" spans="1:12" x14ac:dyDescent="0.3">
      <c r="A29" s="16">
        <f>'06 Returns'!A29</f>
        <v>43039</v>
      </c>
      <c r="B29" s="7">
        <f>'06 Returns'!B29-'05 Factors'!$B29</f>
        <v>-0.13893923363921568</v>
      </c>
      <c r="C29" s="7">
        <f>'06 Returns'!C29-'05 Factors'!$B29</f>
        <v>0.14881651762600068</v>
      </c>
      <c r="D29" s="7">
        <f>'06 Returns'!D29-'05 Factors'!$B29</f>
        <v>3.6890709197779384E-2</v>
      </c>
      <c r="E29" s="7">
        <f>'06 Returns'!E29-'05 Factors'!$B29</f>
        <v>5.8655076375181983E-2</v>
      </c>
      <c r="F29" s="7">
        <f>'06 Returns'!F29-'05 Factors'!$B29</f>
        <v>0.15594994168286791</v>
      </c>
      <c r="G29" s="7">
        <f>'06 Returns'!G29-'05 Factors'!$B29</f>
        <v>-1.8827194468697839E-2</v>
      </c>
      <c r="H29" s="7">
        <f>'06 Returns'!H29-'05 Factors'!$B29</f>
        <v>-3.913186962961493E-4</v>
      </c>
      <c r="I29" s="7">
        <f>'06 Returns'!I29-'05 Factors'!$B29</f>
        <v>1.5811587690839689E-2</v>
      </c>
      <c r="J29" s="7">
        <f>'06 Returns'!J29-'05 Factors'!$B29</f>
        <v>0.11645356054807955</v>
      </c>
      <c r="K29" s="7">
        <f>'06 Returns'!K29-'05 Factors'!$B29</f>
        <v>-2.2030512126659175E-2</v>
      </c>
      <c r="L29" s="7">
        <f>'06 Returns'!L29-'05 Factors'!$B29</f>
        <v>2.2434751503540695E-2</v>
      </c>
    </row>
    <row r="30" spans="1:12" x14ac:dyDescent="0.3">
      <c r="A30" s="16">
        <f>'06 Returns'!A30</f>
        <v>43069</v>
      </c>
      <c r="B30" s="7">
        <f>'06 Returns'!B30-'05 Factors'!$B30</f>
        <v>-9.8991291977061687E-3</v>
      </c>
      <c r="C30" s="7">
        <f>'06 Returns'!C30-'05 Factors'!$B30</f>
        <v>6.386237678858589E-2</v>
      </c>
      <c r="D30" s="7">
        <f>'06 Returns'!D30-'05 Factors'!$B30</f>
        <v>1.9575549365221347E-2</v>
      </c>
      <c r="E30" s="7">
        <f>'06 Returns'!E30-'05 Factors'!$B30</f>
        <v>3.8062790614585305E-2</v>
      </c>
      <c r="F30" s="7">
        <f>'06 Returns'!F30-'05 Factors'!$B30</f>
        <v>-2.9621505130176227E-2</v>
      </c>
      <c r="G30" s="7">
        <f>'06 Returns'!G30-'05 Factors'!$B30</f>
        <v>4.2877631970250761E-2</v>
      </c>
      <c r="H30" s="7">
        <f>'06 Returns'!H30-'05 Factors'!$B30</f>
        <v>2.4288529602362188E-2</v>
      </c>
      <c r="I30" s="7">
        <f>'06 Returns'!I30-'05 Factors'!$B30</f>
        <v>7.7283858527189778E-3</v>
      </c>
      <c r="J30" s="7">
        <f>'06 Returns'!J30-'05 Factors'!$B30</f>
        <v>0.11281794053674524</v>
      </c>
      <c r="K30" s="7">
        <f>'06 Returns'!K30-'05 Factors'!$B30</f>
        <v>6.2287645959351233E-2</v>
      </c>
      <c r="L30" s="7">
        <f>'06 Returns'!L30-'05 Factors'!$B30</f>
        <v>2.9869580718039048E-2</v>
      </c>
    </row>
    <row r="31" spans="1:12" x14ac:dyDescent="0.3">
      <c r="A31" s="16">
        <f>'06 Returns'!A31</f>
        <v>43100</v>
      </c>
      <c r="B31" s="7">
        <f>'06 Returns'!B31-'05 Factors'!$B31</f>
        <v>-5.6914746654741707E-2</v>
      </c>
      <c r="C31" s="7">
        <f>'06 Returns'!C31-'05 Factors'!$B31</f>
        <v>-7.0865684021230602E-3</v>
      </c>
      <c r="D31" s="7">
        <f>'06 Returns'!D31-'05 Factors'!$B31</f>
        <v>-3.2967990511482016E-3</v>
      </c>
      <c r="E31" s="7">
        <f>'06 Returns'!E31-'05 Factors'!$B31</f>
        <v>2.2253324407126695E-2</v>
      </c>
      <c r="F31" s="7">
        <f>'06 Returns'!F31-'05 Factors'!$B31</f>
        <v>-3.6822487388107103E-2</v>
      </c>
      <c r="G31" s="7">
        <f>'06 Returns'!G31-'05 Factors'!$B31</f>
        <v>-2.0030668226256199E-3</v>
      </c>
      <c r="H31" s="7">
        <f>'06 Returns'!H31-'05 Factors'!$B31</f>
        <v>8.8415531405147033E-2</v>
      </c>
      <c r="I31" s="7">
        <f>'06 Returns'!I31-'05 Factors'!$B31</f>
        <v>3.3020975942211882E-3</v>
      </c>
      <c r="J31" s="7">
        <f>'06 Returns'!J31-'05 Factors'!$B31</f>
        <v>2.0085695102494482E-2</v>
      </c>
      <c r="K31" s="7">
        <f>'06 Returns'!K31-'05 Factors'!$B31</f>
        <v>3.9186595199643195E-2</v>
      </c>
      <c r="L31" s="7">
        <f>'06 Returns'!L31-'05 Factors'!$B31</f>
        <v>1.0218318681125672E-2</v>
      </c>
    </row>
    <row r="32" spans="1:12" x14ac:dyDescent="0.3">
      <c r="A32" s="16">
        <f>'06 Returns'!A32</f>
        <v>43131</v>
      </c>
      <c r="B32" s="7">
        <f>'06 Returns'!B32-'05 Factors'!$B32</f>
        <v>0.33547588793441274</v>
      </c>
      <c r="C32" s="7">
        <f>'06 Returns'!C32-'05 Factors'!$B32</f>
        <v>0.23953897541800118</v>
      </c>
      <c r="D32" s="7">
        <f>'06 Returns'!D32-'05 Factors'!$B32</f>
        <v>-0.10116783008352261</v>
      </c>
      <c r="E32" s="7">
        <f>'06 Returns'!E32-'05 Factors'!$B32</f>
        <v>8.6169283433599739E-2</v>
      </c>
      <c r="F32" s="7">
        <f>'06 Returns'!F32-'05 Factors'!$B32</f>
        <v>0.26918430877248933</v>
      </c>
      <c r="G32" s="7">
        <f>'06 Returns'!G32-'05 Factors'!$B32</f>
        <v>2.1539298434198096E-2</v>
      </c>
      <c r="H32" s="7">
        <f>'06 Returns'!H32-'05 Factors'!$B32</f>
        <v>0.15169685864308946</v>
      </c>
      <c r="I32" s="7">
        <f>'06 Returns'!I32-'05 Factors'!$B32</f>
        <v>4.265892359508882E-2</v>
      </c>
      <c r="J32" s="7">
        <f>'06 Returns'!J32-'05 Factors'!$B32</f>
        <v>7.8393769883539841E-2</v>
      </c>
      <c r="K32" s="7">
        <f>'06 Returns'!K32-'05 Factors'!$B32</f>
        <v>3.2073186593439933E-2</v>
      </c>
      <c r="L32" s="7">
        <f>'06 Returns'!L32-'05 Factors'!$B32</f>
        <v>5.6153778946113168E-2</v>
      </c>
    </row>
    <row r="33" spans="1:12" x14ac:dyDescent="0.3">
      <c r="A33" s="16">
        <f>'06 Returns'!A33</f>
        <v>43159</v>
      </c>
      <c r="B33" s="7">
        <f>'06 Returns'!B33-'05 Factors'!$B33</f>
        <v>-0.11973174247123776</v>
      </c>
      <c r="C33" s="7">
        <f>'06 Returns'!C33-'05 Factors'!$B33</f>
        <v>4.1329063602098752E-2</v>
      </c>
      <c r="D33" s="7">
        <f>'06 Returns'!D33-'05 Factors'!$B33</f>
        <v>-3.3916869383961996E-2</v>
      </c>
      <c r="E33" s="7">
        <f>'06 Returns'!E33-'05 Factors'!$B33</f>
        <v>-2.5697365478112404E-3</v>
      </c>
      <c r="F33" s="7">
        <f>'06 Returns'!F33-'05 Factors'!$B33</f>
        <v>-1.594804321352573E-2</v>
      </c>
      <c r="G33" s="7">
        <f>'06 Returns'!G33-'05 Factors'!$B33</f>
        <v>-1.1726864815738935E-2</v>
      </c>
      <c r="H33" s="7">
        <f>'06 Returns'!H33-'05 Factors'!$B33</f>
        <v>9.7048334060895088E-3</v>
      </c>
      <c r="I33" s="7">
        <f>'06 Returns'!I33-'05 Factors'!$B33</f>
        <v>-0.12464516654058867</v>
      </c>
      <c r="J33" s="7">
        <f>'06 Returns'!J33-'05 Factors'!$B33</f>
        <v>-0.15672850355203749</v>
      </c>
      <c r="K33" s="7">
        <f>'06 Returns'!K33-'05 Factors'!$B33</f>
        <v>-0.11817042622126496</v>
      </c>
      <c r="L33" s="7">
        <f>'06 Returns'!L33-'05 Factors'!$B33</f>
        <v>-3.7955811814390679E-2</v>
      </c>
    </row>
    <row r="34" spans="1:12" x14ac:dyDescent="0.3">
      <c r="A34" s="16">
        <f>'06 Returns'!A34</f>
        <v>43190</v>
      </c>
      <c r="B34" s="7">
        <f>'06 Returns'!B34-'05 Factors'!$B34</f>
        <v>-0.17130731002459446</v>
      </c>
      <c r="C34" s="7">
        <f>'06 Returns'!C34-'05 Factors'!$B34</f>
        <v>-4.424936888625388E-2</v>
      </c>
      <c r="D34" s="7">
        <f>'06 Returns'!D34-'05 Factors'!$B34</f>
        <v>4.3097989906476154E-2</v>
      </c>
      <c r="E34" s="7">
        <f>'06 Returns'!E34-'05 Factors'!$B34</f>
        <v>-4.9078552998740775E-2</v>
      </c>
      <c r="F34" s="7">
        <f>'06 Returns'!F34-'05 Factors'!$B34</f>
        <v>-4.42166493900066E-2</v>
      </c>
      <c r="G34" s="7">
        <f>'06 Returns'!G34-'05 Factors'!$B34</f>
        <v>-2.3783166172666202E-2</v>
      </c>
      <c r="H34" s="7">
        <f>'06 Returns'!H34-'05 Factors'!$B34</f>
        <v>-8.0499814604086423E-2</v>
      </c>
      <c r="I34" s="7">
        <f>'06 Returns'!I34-'05 Factors'!$B34</f>
        <v>-1.6119482721887145E-2</v>
      </c>
      <c r="J34" s="7">
        <f>'06 Returns'!J34-'05 Factors'!$B34</f>
        <v>-6.861176659085165E-3</v>
      </c>
      <c r="K34" s="7">
        <f>'06 Returns'!K34-'05 Factors'!$B34</f>
        <v>4.7557711469723546E-4</v>
      </c>
      <c r="L34" s="7">
        <f>'06 Returns'!L34-'05 Factors'!$B34</f>
        <v>-2.6614020167506712E-2</v>
      </c>
    </row>
    <row r="35" spans="1:12" x14ac:dyDescent="0.3">
      <c r="A35" s="16">
        <f>'06 Returns'!A35</f>
        <v>43220</v>
      </c>
      <c r="B35" s="7">
        <f>'06 Returns'!B35-'05 Factors'!$B35</f>
        <v>8.1187055517477472E-2</v>
      </c>
      <c r="C35" s="7">
        <f>'06 Returns'!C35-'05 Factors'!$B35</f>
        <v>8.0674796472200841E-2</v>
      </c>
      <c r="D35" s="7">
        <f>'06 Returns'!D35-'05 Factors'!$B35</f>
        <v>2.6650971331463394E-2</v>
      </c>
      <c r="E35" s="7">
        <f>'06 Returns'!E35-'05 Factors'!$B35</f>
        <v>-7.2052006344634368E-3</v>
      </c>
      <c r="F35" s="7">
        <f>'06 Returns'!F35-'05 Factors'!$B35</f>
        <v>-3.0287352763275585E-2</v>
      </c>
      <c r="G35" s="7">
        <f>'06 Returns'!G35-'05 Factors'!$B35</f>
        <v>3.0158053175321234E-2</v>
      </c>
      <c r="H35" s="7">
        <f>'06 Returns'!H35-'05 Factors'!$B35</f>
        <v>4.4257378145653739E-2</v>
      </c>
      <c r="I35" s="7">
        <f>'06 Returns'!I35-'05 Factors'!$B35</f>
        <v>4.0685651016529947E-2</v>
      </c>
      <c r="J35" s="7">
        <f>'06 Returns'!J35-'05 Factors'!$B35</f>
        <v>-7.1322387006093491E-3</v>
      </c>
      <c r="K35" s="7">
        <f>'06 Returns'!K35-'05 Factors'!$B35</f>
        <v>4.3580215652624668E-2</v>
      </c>
      <c r="L35" s="7">
        <f>'06 Returns'!L35-'05 Factors'!$B35</f>
        <v>2.4371097668588037E-3</v>
      </c>
    </row>
    <row r="36" spans="1:12" x14ac:dyDescent="0.3">
      <c r="A36" s="16">
        <f>'06 Returns'!A36</f>
        <v>43251</v>
      </c>
      <c r="B36" s="7">
        <f>'06 Returns'!B36-'05 Factors'!$B36</f>
        <v>0.26054847406554177</v>
      </c>
      <c r="C36" s="7">
        <f>'06 Returns'!C36-'05 Factors'!$B36</f>
        <v>3.9139410880146011E-2</v>
      </c>
      <c r="D36" s="7">
        <f>'06 Returns'!D36-'05 Factors'!$B36</f>
        <v>2.6179938591553834E-2</v>
      </c>
      <c r="E36" s="7">
        <f>'06 Returns'!E36-'05 Factors'!$B36</f>
        <v>-1.7671253397730388E-2</v>
      </c>
      <c r="F36" s="7">
        <f>'06 Returns'!F36-'05 Factors'!$B36</f>
        <v>0.1206365474188776</v>
      </c>
      <c r="G36" s="7">
        <f>'06 Returns'!G36-'05 Factors'!$B36</f>
        <v>-1.0393614686095608E-2</v>
      </c>
      <c r="H36" s="7">
        <f>'06 Returns'!H36-'05 Factors'!$B36</f>
        <v>1.1206393278561834E-2</v>
      </c>
      <c r="I36" s="7">
        <f>'06 Returns'!I36-'05 Factors'!$B36</f>
        <v>5.4078157395256746E-2</v>
      </c>
      <c r="J36" s="7">
        <f>'06 Returns'!J36-'05 Factors'!$B36</f>
        <v>-6.2444800546057208E-2</v>
      </c>
      <c r="K36" s="7">
        <f>'06 Returns'!K36-'05 Factors'!$B36</f>
        <v>-3.5442625029504835E-2</v>
      </c>
      <c r="L36" s="7">
        <f>'06 Returns'!L36-'05 Factors'!$B36</f>
        <v>2.2682244246019126E-2</v>
      </c>
    </row>
    <row r="37" spans="1:12" x14ac:dyDescent="0.3">
      <c r="A37" s="16">
        <f>'06 Returns'!A37</f>
        <v>43281</v>
      </c>
      <c r="B37" s="7">
        <f>'06 Returns'!B37-'05 Factors'!$B37</f>
        <v>9.0369866781663991E-2</v>
      </c>
      <c r="C37" s="7">
        <f>'06 Returns'!C37-'05 Factors'!$B37</f>
        <v>4.1665192318333835E-2</v>
      </c>
      <c r="D37" s="7">
        <f>'06 Returns'!D37-'05 Factors'!$B37</f>
        <v>-4.2958143451625783E-2</v>
      </c>
      <c r="E37" s="7">
        <f>'06 Returns'!E37-'05 Factors'!$B37</f>
        <v>-2.765908909774599E-2</v>
      </c>
      <c r="F37" s="7">
        <f>'06 Returns'!F37-'05 Factors'!$B37</f>
        <v>-6.2028892545312006E-2</v>
      </c>
      <c r="G37" s="7">
        <f>'06 Returns'!G37-'05 Factors'!$B37</f>
        <v>8.3410536135686952E-3</v>
      </c>
      <c r="H37" s="7">
        <f>'06 Returns'!H37-'05 Factors'!$B37</f>
        <v>4.2913595732796253E-2</v>
      </c>
      <c r="I37" s="7">
        <f>'06 Returns'!I37-'05 Factors'!$B37</f>
        <v>1.6940879290958735E-2</v>
      </c>
      <c r="J37" s="7">
        <f>'06 Returns'!J37-'05 Factors'!$B37</f>
        <v>3.6278710507362158E-2</v>
      </c>
      <c r="K37" s="7">
        <f>'06 Returns'!K37-'05 Factors'!$B37</f>
        <v>5.3981097933419722E-2</v>
      </c>
      <c r="L37" s="7">
        <f>'06 Returns'!L37-'05 Factors'!$B37</f>
        <v>4.7544498709982241E-3</v>
      </c>
    </row>
    <row r="38" spans="1:12" x14ac:dyDescent="0.3">
      <c r="A38" s="16">
        <f>'06 Returns'!A38</f>
        <v>43312</v>
      </c>
      <c r="B38" s="7">
        <f>'06 Returns'!B38-'05 Factors'!$B38</f>
        <v>0.22121522372264218</v>
      </c>
      <c r="C38" s="7">
        <f>'06 Returns'!C38-'05 Factors'!$B38</f>
        <v>4.4076007549983358E-2</v>
      </c>
      <c r="D38" s="7">
        <f>'06 Returns'!D38-'05 Factors'!$B38</f>
        <v>-8.1894510925021383E-2</v>
      </c>
      <c r="E38" s="7">
        <f>'06 Returns'!E38-'05 Factors'!$B38</f>
        <v>0.10756165266929756</v>
      </c>
      <c r="F38" s="7">
        <f>'06 Returns'!F38-'05 Factors'!$B38</f>
        <v>3.2000702632056392E-2</v>
      </c>
      <c r="G38" s="7">
        <f>'06 Returns'!G38-'05 Factors'!$B38</f>
        <v>9.9006274417870174E-2</v>
      </c>
      <c r="H38" s="7">
        <f>'06 Returns'!H38-'05 Factors'!$B38</f>
        <v>5.8305020945917989E-2</v>
      </c>
      <c r="I38" s="7">
        <f>'06 Returns'!I38-'05 Factors'!$B38</f>
        <v>-1.6346707262630166E-2</v>
      </c>
      <c r="J38" s="7">
        <f>'06 Returns'!J38-'05 Factors'!$B38</f>
        <v>4.0197987952880036E-2</v>
      </c>
      <c r="K38" s="7">
        <f>'06 Returns'!K38-'05 Factors'!$B38</f>
        <v>3.6736252173019505E-2</v>
      </c>
      <c r="L38" s="7">
        <f>'06 Returns'!L38-'05 Factors'!$B38</f>
        <v>3.5614764795888258E-2</v>
      </c>
    </row>
    <row r="39" spans="1:12" x14ac:dyDescent="0.3">
      <c r="A39" s="16">
        <f>'06 Returns'!A39</f>
        <v>43343</v>
      </c>
      <c r="B39" s="7">
        <f>'06 Returns'!B39-'05 Factors'!$B39</f>
        <v>0.3715587660159308</v>
      </c>
      <c r="C39" s="7">
        <f>'06 Returns'!C39-'05 Factors'!$B39</f>
        <v>0.13076448128743096</v>
      </c>
      <c r="D39" s="7">
        <f>'06 Returns'!D39-'05 Factors'!$B39</f>
        <v>-5.7376848277068966E-2</v>
      </c>
      <c r="E39" s="7">
        <f>'06 Returns'!E39-'05 Factors'!$B39</f>
        <v>-4.818786594511802E-3</v>
      </c>
      <c r="F39" s="7">
        <f>'06 Returns'!F39-'05 Factors'!$B39</f>
        <v>0.14531440812383339</v>
      </c>
      <c r="G39" s="7">
        <f>'06 Returns'!G39-'05 Factors'!$B39</f>
        <v>4.7073741958043418E-2</v>
      </c>
      <c r="H39" s="7">
        <f>'06 Returns'!H39-'05 Factors'!$B39</f>
        <v>9.1456772665958128E-2</v>
      </c>
      <c r="I39" s="7">
        <f>'06 Returns'!I39-'05 Factors'!$B39</f>
        <v>-7.8948606644042123E-3</v>
      </c>
      <c r="J39" s="7">
        <f>'06 Returns'!J39-'05 Factors'!$B39</f>
        <v>7.8942068934606355E-2</v>
      </c>
      <c r="K39" s="7">
        <f>'06 Returns'!K39-'05 Factors'!$B39</f>
        <v>5.1265464671628673E-2</v>
      </c>
      <c r="L39" s="7">
        <f>'06 Returns'!L39-'05 Factors'!$B39</f>
        <v>3.0983990699524001E-2</v>
      </c>
    </row>
    <row r="40" spans="1:12" x14ac:dyDescent="0.3">
      <c r="A40" s="16">
        <f>'06 Returns'!A40</f>
        <v>43373</v>
      </c>
      <c r="B40" s="7">
        <f>'06 Returns'!B40-'05 Factors'!$B40</f>
        <v>0.22575464028448439</v>
      </c>
      <c r="C40" s="7">
        <f>'06 Returns'!C40-'05 Factors'!$B40</f>
        <v>-6.3243068342868063E-3</v>
      </c>
      <c r="D40" s="7">
        <f>'06 Returns'!D40-'05 Factors'!$B40</f>
        <v>-2.576157086551506E-2</v>
      </c>
      <c r="E40" s="7">
        <f>'06 Returns'!E40-'05 Factors'!$B40</f>
        <v>-1.6686044247245346E-2</v>
      </c>
      <c r="F40" s="7">
        <f>'06 Returns'!F40-'05 Factors'!$B40</f>
        <v>-2.8842106788034986E-4</v>
      </c>
      <c r="G40" s="7">
        <f>'06 Returns'!G40-'05 Factors'!$B40</f>
        <v>5.9916244680625896E-2</v>
      </c>
      <c r="H40" s="7">
        <f>'06 Returns'!H40-'05 Factors'!$B40</f>
        <v>6.6141707079297469E-3</v>
      </c>
      <c r="I40" s="7">
        <f>'06 Returns'!I40-'05 Factors'!$B40</f>
        <v>5.8996330578516221E-2</v>
      </c>
      <c r="J40" s="7">
        <f>'06 Returns'!J40-'05 Factors'!$B40</f>
        <v>-2.1841998569902488E-2</v>
      </c>
      <c r="K40" s="7">
        <f>'06 Returns'!K40-'05 Factors'!$B40</f>
        <v>-1.9524154403682104E-2</v>
      </c>
      <c r="L40" s="7">
        <f>'06 Returns'!L40-'05 Factors'!$B40</f>
        <v>4.1920706187126861E-3</v>
      </c>
    </row>
    <row r="41" spans="1:12" x14ac:dyDescent="0.3">
      <c r="A41" s="16">
        <f>'06 Returns'!A41</f>
        <v>43404</v>
      </c>
      <c r="B41" s="7">
        <f>'06 Returns'!B41-'05 Factors'!$B41</f>
        <v>-0.41238884932542541</v>
      </c>
      <c r="C41" s="7">
        <f>'06 Returns'!C41-'05 Factors'!$B41</f>
        <v>-0.20409175018427739</v>
      </c>
      <c r="D41" s="7">
        <f>'06 Returns'!D41-'05 Factors'!$B41</f>
        <v>4.9079359837830974E-2</v>
      </c>
      <c r="E41" s="7">
        <f>'06 Returns'!E41-'05 Factors'!$B41</f>
        <v>-2.898740282001476E-2</v>
      </c>
      <c r="F41" s="7">
        <f>'06 Returns'!F41-'05 Factors'!$B41</f>
        <v>-0.25166859734716562</v>
      </c>
      <c r="G41" s="7">
        <f>'06 Returns'!G41-'05 Factors'!$B41</f>
        <v>-2.4818153911644533E-2</v>
      </c>
      <c r="H41" s="7">
        <f>'06 Returns'!H41-'05 Factors'!$B41</f>
        <v>-5.3821726093925978E-2</v>
      </c>
      <c r="I41" s="7">
        <f>'06 Returns'!I41-'05 Factors'!$B41</f>
        <v>-6.4708846016942143E-2</v>
      </c>
      <c r="J41" s="7">
        <f>'06 Returns'!J41-'05 Factors'!$B41</f>
        <v>6.5930921861758765E-2</v>
      </c>
      <c r="K41" s="7">
        <f>'06 Returns'!K41-'05 Factors'!$B41</f>
        <v>7.9250130350697626E-2</v>
      </c>
      <c r="L41" s="7">
        <f>'06 Returns'!L41-'05 Factors'!$B41</f>
        <v>-7.0249988867634325E-2</v>
      </c>
    </row>
    <row r="42" spans="1:12" x14ac:dyDescent="0.3">
      <c r="A42" s="16">
        <f>'06 Returns'!A42</f>
        <v>43434</v>
      </c>
      <c r="B42" s="7">
        <f>'06 Returns'!B42-'05 Factors'!$B42</f>
        <v>0.16788700208393451</v>
      </c>
      <c r="C42" s="7">
        <f>'06 Returns'!C42-'05 Factors'!$B42</f>
        <v>5.5871752452632005E-2</v>
      </c>
      <c r="D42" s="7">
        <f>'06 Returns'!D42-'05 Factors'!$B42</f>
        <v>-1.6459952546827836E-2</v>
      </c>
      <c r="E42" s="7">
        <f>'06 Returns'!E42-'05 Factors'!$B42</f>
        <v>1.8104827630720546E-2</v>
      </c>
      <c r="F42" s="7">
        <f>'06 Returns'!F42-'05 Factors'!$B42</f>
        <v>-0.22585027917830822</v>
      </c>
      <c r="G42" s="7">
        <f>'06 Returns'!G42-'05 Factors'!$B42</f>
        <v>8.0103062023861665E-2</v>
      </c>
      <c r="H42" s="7">
        <f>'06 Returns'!H42-'05 Factors'!$B42</f>
        <v>-0.14626195046698073</v>
      </c>
      <c r="I42" s="7">
        <f>'06 Returns'!I42-'05 Factors'!$B42</f>
        <v>6.055107050416255E-3</v>
      </c>
      <c r="J42" s="7">
        <f>'06 Returns'!J42-'05 Factors'!$B42</f>
        <v>-2.8026923126867585E-2</v>
      </c>
      <c r="K42" s="7">
        <f>'06 Returns'!K42-'05 Factors'!$B42</f>
        <v>5.4426806824859474E-2</v>
      </c>
      <c r="L42" s="7">
        <f>'06 Returns'!L42-'05 Factors'!$B42</f>
        <v>1.8578083783335832E-2</v>
      </c>
    </row>
    <row r="43" spans="1:12" x14ac:dyDescent="0.3">
      <c r="A43" s="16">
        <f>'06 Returns'!A43</f>
        <v>43465</v>
      </c>
      <c r="B43" s="7">
        <f>'06 Returns'!B43-'05 Factors'!$B43</f>
        <v>-0.13523334527323982</v>
      </c>
      <c r="C43" s="7">
        <f>'06 Returns'!C43-'05 Factors'!$B43</f>
        <v>-0.1132497000638789</v>
      </c>
      <c r="D43" s="7">
        <f>'06 Returns'!D43-'05 Factors'!$B43</f>
        <v>-0.18893505346575123</v>
      </c>
      <c r="E43" s="7">
        <f>'06 Returns'!E43-'05 Factors'!$B43</f>
        <v>-0.12394332664950856</v>
      </c>
      <c r="F43" s="7">
        <f>'06 Returns'!F43-'05 Factors'!$B43</f>
        <v>-0.18503635265548923</v>
      </c>
      <c r="G43" s="7">
        <f>'06 Returns'!G43-'05 Factors'!$B43</f>
        <v>-5.7708306804751683E-2</v>
      </c>
      <c r="H43" s="7">
        <f>'06 Returns'!H43-'05 Factors'!$B43</f>
        <v>-7.0530065782574689E-2</v>
      </c>
      <c r="I43" s="7">
        <f>'06 Returns'!I43-'05 Factors'!$B43</f>
        <v>-0.14416392002393352</v>
      </c>
      <c r="J43" s="7">
        <f>'06 Returns'!J43-'05 Factors'!$B43</f>
        <v>-4.2777136614248853E-2</v>
      </c>
      <c r="K43" s="7">
        <f>'06 Returns'!K43-'05 Factors'!$B43</f>
        <v>-6.9561620506097363E-2</v>
      </c>
      <c r="L43" s="7">
        <f>'06 Returns'!L43-'05 Factors'!$B43</f>
        <v>-9.218984365543724E-2</v>
      </c>
    </row>
    <row r="44" spans="1:12" x14ac:dyDescent="0.3">
      <c r="A44" s="16">
        <f>'06 Returns'!A44</f>
        <v>43496</v>
      </c>
      <c r="B44" s="7">
        <f>'06 Returns'!B44-'05 Factors'!$B44</f>
        <v>0.32021858385604896</v>
      </c>
      <c r="C44" s="7">
        <f>'06 Returns'!C44-'05 Factors'!$B44</f>
        <v>0.14221709005199523</v>
      </c>
      <c r="D44" s="7">
        <f>'06 Returns'!D44-'05 Factors'!$B44</f>
        <v>0.1682674219117446</v>
      </c>
      <c r="E44" s="7">
        <f>'06 Returns'!E44-'05 Factors'!$B44</f>
        <v>6.6743282321998207E-2</v>
      </c>
      <c r="F44" s="7">
        <f>'06 Returns'!F44-'05 Factors'!$B44</f>
        <v>7.4678735237454705E-2</v>
      </c>
      <c r="G44" s="7">
        <f>'06 Returns'!G44-'05 Factors'!$B44</f>
        <v>-2.1097481053309452E-2</v>
      </c>
      <c r="H44" s="7">
        <f>'06 Returns'!H44-'05 Factors'!$B44</f>
        <v>0.10245451848696784</v>
      </c>
      <c r="I44" s="7">
        <f>'06 Returns'!I44-'05 Factors'!$B44</f>
        <v>7.2544325005154273E-2</v>
      </c>
      <c r="J44" s="7">
        <f>'06 Returns'!J44-'05 Factors'!$B44</f>
        <v>2.6670943625018529E-2</v>
      </c>
      <c r="K44" s="7">
        <f>'06 Returns'!K44-'05 Factors'!$B44</f>
        <v>-1.2511955985605958E-2</v>
      </c>
      <c r="L44" s="7">
        <f>'06 Returns'!L44-'05 Factors'!$B44</f>
        <v>7.803483569221091E-2</v>
      </c>
    </row>
    <row r="45" spans="1:12" x14ac:dyDescent="0.3">
      <c r="A45" s="16">
        <f>'06 Returns'!A45</f>
        <v>43524</v>
      </c>
      <c r="B45" s="7">
        <f>'06 Returns'!B45-'05 Factors'!$B45</f>
        <v>-3.7850764698949081E-2</v>
      </c>
      <c r="C45" s="7">
        <f>'06 Returns'!C45-'05 Factors'!$B45</f>
        <v>-4.7705984879345166E-2</v>
      </c>
      <c r="D45" s="7">
        <f>'06 Returns'!D45-'05 Factors'!$B45</f>
        <v>-5.2088768165344558E-3</v>
      </c>
      <c r="E45" s="7">
        <f>'06 Returns'!E45-'05 Factors'!$B45</f>
        <v>6.5095534238402107E-3</v>
      </c>
      <c r="F45" s="7">
        <f>'06 Returns'!F45-'05 Factors'!$B45</f>
        <v>7.2419209960773029E-2</v>
      </c>
      <c r="G45" s="7">
        <f>'06 Returns'!G45-'05 Factors'!$B45</f>
        <v>1.9401436499199922E-2</v>
      </c>
      <c r="H45" s="7">
        <f>'06 Returns'!H45-'05 Factors'!$B45</f>
        <v>2.0891065603050557E-3</v>
      </c>
      <c r="I45" s="7">
        <f>'06 Returns'!I45-'05 Factors'!$B45</f>
        <v>8.8639698412966067E-2</v>
      </c>
      <c r="J45" s="7">
        <f>'06 Returns'!J45-'05 Factors'!$B45</f>
        <v>3.1175004176871492E-2</v>
      </c>
      <c r="K45" s="7">
        <f>'06 Returns'!K45-'05 Factors'!$B45</f>
        <v>3.1981567450344549E-2</v>
      </c>
      <c r="L45" s="7">
        <f>'06 Returns'!L45-'05 Factors'!$B45</f>
        <v>3.0308513276877693E-2</v>
      </c>
    </row>
    <row r="46" spans="1:12" x14ac:dyDescent="0.3">
      <c r="A46" s="16">
        <f>'06 Returns'!A46</f>
        <v>43555</v>
      </c>
      <c r="B46" s="7">
        <f>'06 Returns'!B46-'05 Factors'!$B46</f>
        <v>8.2672873486284063E-2</v>
      </c>
      <c r="C46" s="7">
        <f>'06 Returns'!C46-'05 Factors'!$B46</f>
        <v>8.4035707313171906E-2</v>
      </c>
      <c r="D46" s="7">
        <f>'06 Returns'!D46-'05 Factors'!$B46</f>
        <v>-7.5995271896965697E-4</v>
      </c>
      <c r="E46" s="7">
        <f>'06 Returns'!E46-'05 Factors'!$B46</f>
        <v>-3.1892647396080095E-2</v>
      </c>
      <c r="F46" s="7">
        <f>'06 Returns'!F46-'05 Factors'!$B46</f>
        <v>0.16210896615270687</v>
      </c>
      <c r="G46" s="7">
        <f>'06 Returns'!G46-'05 Factors'!$B46</f>
        <v>-2.2199892969896981E-2</v>
      </c>
      <c r="H46" s="7">
        <f>'06 Returns'!H46-'05 Factors'!$B46</f>
        <v>0.10300074082459011</v>
      </c>
      <c r="I46" s="7">
        <f>'06 Returns'!I46-'05 Factors'!$B46</f>
        <v>2.0496204116558184E-2</v>
      </c>
      <c r="J46" s="7">
        <f>'06 Returns'!J46-'05 Factors'!$B46</f>
        <v>-1.1347573084901518E-2</v>
      </c>
      <c r="K46" s="7">
        <f>'06 Returns'!K46-'05 Factors'!$B46</f>
        <v>3.6926385825321276E-2</v>
      </c>
      <c r="L46" s="7">
        <f>'06 Returns'!L46-'05 Factors'!$B46</f>
        <v>1.7531281619456843E-2</v>
      </c>
    </row>
    <row r="47" spans="1:12" x14ac:dyDescent="0.3">
      <c r="A47" s="16">
        <f>'06 Returns'!A47</f>
        <v>43585</v>
      </c>
      <c r="B47" s="7">
        <f>'06 Returns'!B47-'05 Factors'!$B47</f>
        <v>8.058019847762575E-2</v>
      </c>
      <c r="C47" s="7">
        <f>'06 Returns'!C47-'05 Factors'!$B47</f>
        <v>7.9758745469136624E-2</v>
      </c>
      <c r="D47" s="7">
        <f>'06 Returns'!D47-'05 Factors'!$B47</f>
        <v>0.20719923396260032</v>
      </c>
      <c r="E47" s="7">
        <f>'06 Returns'!E47-'05 Factors'!$B47</f>
        <v>0.15307155165494613</v>
      </c>
      <c r="F47" s="7">
        <f>'06 Returns'!F47-'05 Factors'!$B47</f>
        <v>5.9191162300016222E-3</v>
      </c>
      <c r="G47" s="7">
        <f>'06 Returns'!G47-'05 Factors'!$B47</f>
        <v>-4.589550431791934E-2</v>
      </c>
      <c r="H47" s="7">
        <f>'06 Returns'!H47-'05 Factors'!$B47</f>
        <v>-3.7485006501780778E-2</v>
      </c>
      <c r="I47" s="7">
        <f>'06 Returns'!I47-'05 Factors'!$B47</f>
        <v>-8.5354654168302655E-3</v>
      </c>
      <c r="J47" s="7">
        <f>'06 Returns'!J47-'05 Factors'!$B47</f>
        <v>5.234444995027742E-2</v>
      </c>
      <c r="K47" s="7">
        <f>'06 Returns'!K47-'05 Factors'!$B47</f>
        <v>-2.4944176057201572E-2</v>
      </c>
      <c r="L47" s="7">
        <f>'06 Returns'!L47-'05 Factors'!$B47</f>
        <v>3.8389313938400609E-2</v>
      </c>
    </row>
    <row r="48" spans="1:12" x14ac:dyDescent="0.3">
      <c r="A48" s="16">
        <f>'06 Returns'!A48</f>
        <v>43616</v>
      </c>
      <c r="B48" s="7">
        <f>'06 Returns'!B48-'05 Factors'!$B48</f>
        <v>-1.0062335145928034E-2</v>
      </c>
      <c r="C48" s="7">
        <f>'06 Returns'!C48-'05 Factors'!$B48</f>
        <v>-8.0713196747440832E-2</v>
      </c>
      <c r="D48" s="7">
        <f>'06 Returns'!D48-'05 Factors'!$B48</f>
        <v>-9.1095088874124111E-2</v>
      </c>
      <c r="E48" s="7">
        <f>'06 Returns'!E48-'05 Factors'!$B48</f>
        <v>-8.90455836366877E-2</v>
      </c>
      <c r="F48" s="7">
        <f>'06 Returns'!F48-'05 Factors'!$B48</f>
        <v>-0.25284786960112171</v>
      </c>
      <c r="G48" s="7">
        <f>'06 Returns'!G48-'05 Factors'!$B48</f>
        <v>2.9376331000885204E-2</v>
      </c>
      <c r="H48" s="7">
        <f>'06 Returns'!H48-'05 Factors'!$B48</f>
        <v>4.6399038995571289E-2</v>
      </c>
      <c r="I48" s="7">
        <f>'06 Returns'!I48-'05 Factors'!$B48</f>
        <v>-0.11045573378622199</v>
      </c>
      <c r="J48" s="7">
        <f>'06 Returns'!J48-'05 Factors'!$B48</f>
        <v>-1.0473334068440541E-2</v>
      </c>
      <c r="K48" s="7">
        <f>'06 Returns'!K48-'05 Factors'!$B48</f>
        <v>-5.1759037850547591E-2</v>
      </c>
      <c r="L48" s="7">
        <f>'06 Returns'!L48-'05 Factors'!$B48</f>
        <v>-6.5648033502389916E-2</v>
      </c>
    </row>
    <row r="49" spans="1:12" x14ac:dyDescent="0.3">
      <c r="A49" s="16">
        <f>'06 Returns'!A49</f>
        <v>43646</v>
      </c>
      <c r="B49" s="7">
        <f>'06 Returns'!B49-'05 Factors'!$B49</f>
        <v>0.10618982153517867</v>
      </c>
      <c r="C49" s="7">
        <f>'06 Returns'!C49-'05 Factors'!$B49</f>
        <v>6.4991746549976331E-2</v>
      </c>
      <c r="D49" s="7">
        <f>'06 Returns'!D49-'05 Factors'!$B49</f>
        <v>7.2779589262626426E-2</v>
      </c>
      <c r="E49" s="7">
        <f>'06 Returns'!E49-'05 Factors'!$B49</f>
        <v>5.3315461320093481E-2</v>
      </c>
      <c r="F49" s="7">
        <f>'06 Returns'!F49-'05 Factors'!$B49</f>
        <v>0.2105879547722054</v>
      </c>
      <c r="G49" s="7">
        <f>'06 Returns'!G49-'05 Factors'!$B49</f>
        <v>4.1552557330939675E-2</v>
      </c>
      <c r="H49" s="7">
        <f>'06 Returns'!H49-'05 Factors'!$B49</f>
        <v>7.4768991344755814E-2</v>
      </c>
      <c r="I49" s="7">
        <f>'06 Returns'!I49-'05 Factors'!$B49</f>
        <v>8.10036055408421E-2</v>
      </c>
      <c r="J49" s="7">
        <f>'06 Returns'!J49-'05 Factors'!$B49</f>
        <v>8.7415597387071636E-2</v>
      </c>
      <c r="K49" s="7">
        <f>'06 Returns'!K49-'05 Factors'!$B49</f>
        <v>4.9349941694893949E-2</v>
      </c>
      <c r="L49" s="7">
        <f>'06 Returns'!L49-'05 Factors'!$B49</f>
        <v>6.8676707806211629E-2</v>
      </c>
    </row>
    <row r="50" spans="1:12" x14ac:dyDescent="0.3">
      <c r="A50" s="16">
        <f>'06 Returns'!A50</f>
        <v>43677</v>
      </c>
      <c r="B50" s="7">
        <f>'06 Returns'!B50-'05 Factors'!$B50</f>
        <v>7.3417588045444795E-4</v>
      </c>
      <c r="C50" s="7">
        <f>'06 Returns'!C50-'05 Factors'!$B50</f>
        <v>-1.6079183493785329E-2</v>
      </c>
      <c r="D50" s="7">
        <f>'06 Returns'!D50-'05 Factors'!$B50</f>
        <v>-5.6421989187575114E-2</v>
      </c>
      <c r="E50" s="7">
        <f>'06 Returns'!E50-'05 Factors'!$B50</f>
        <v>4.3012572864657331E-2</v>
      </c>
      <c r="F50" s="7">
        <f>'06 Returns'!F50-'05 Factors'!$B50</f>
        <v>2.5439359811060061E-2</v>
      </c>
      <c r="G50" s="7">
        <f>'06 Returns'!G50-'05 Factors'!$B50</f>
        <v>-0.10531668062836595</v>
      </c>
      <c r="H50" s="7">
        <f>'06 Returns'!H50-'05 Factors'!$B50</f>
        <v>-4.3244198430573014E-3</v>
      </c>
      <c r="I50" s="7">
        <f>'06 Returns'!I50-'05 Factors'!$B50</f>
        <v>-3.1523153841576765E-2</v>
      </c>
      <c r="J50" s="7">
        <f>'06 Returns'!J50-'05 Factors'!$B50</f>
        <v>-2.8956637782497777E-3</v>
      </c>
      <c r="K50" s="7">
        <f>'06 Returns'!K50-'05 Factors'!$B50</f>
        <v>-2.4274110585629546E-2</v>
      </c>
      <c r="L50" s="7">
        <f>'06 Returns'!L50-'05 Factors'!$B50</f>
        <v>1.2473109106757597E-2</v>
      </c>
    </row>
    <row r="51" spans="1:12" x14ac:dyDescent="0.3">
      <c r="A51" s="16">
        <f>'06 Returns'!A51</f>
        <v>43708</v>
      </c>
      <c r="B51" s="7">
        <f>'06 Returns'!B51-'05 Factors'!$B51</f>
        <v>3.1240721673097261E-2</v>
      </c>
      <c r="C51" s="7">
        <f>'06 Returns'!C51-'05 Factors'!$B51</f>
        <v>-5.0073822696721733E-2</v>
      </c>
      <c r="D51" s="7">
        <f>'06 Returns'!D51-'05 Factors'!$B51</f>
        <v>-3.9375611441660748E-2</v>
      </c>
      <c r="E51" s="7">
        <f>'06 Returns'!E51-'05 Factors'!$B51</f>
        <v>-5.4530755158324458E-2</v>
      </c>
      <c r="F51" s="7">
        <f>'06 Returns'!F51-'05 Factors'!$B51</f>
        <v>-7.7887665001308932E-3</v>
      </c>
      <c r="G51" s="7">
        <f>'06 Returns'!G51-'05 Factors'!$B51</f>
        <v>-7.774343588293349E-2</v>
      </c>
      <c r="H51" s="7">
        <f>'06 Returns'!H51-'05 Factors'!$B51</f>
        <v>0.24680541436677733</v>
      </c>
      <c r="I51" s="7">
        <f>'06 Returns'!I51-'05 Factors'!$B51</f>
        <v>-6.9224001280926054E-2</v>
      </c>
      <c r="J51" s="7">
        <f>'06 Returns'!J51-'05 Factors'!$B51</f>
        <v>3.8646638004788562E-2</v>
      </c>
      <c r="K51" s="7">
        <f>'06 Returns'!K51-'05 Factors'!$B51</f>
        <v>5.0689050046306687E-2</v>
      </c>
      <c r="L51" s="7">
        <f>'06 Returns'!L51-'05 Factors'!$B51</f>
        <v>-1.7441356518758399E-2</v>
      </c>
    </row>
    <row r="52" spans="1:12" x14ac:dyDescent="0.3">
      <c r="A52" s="16">
        <f>'06 Returns'!A52</f>
        <v>43738</v>
      </c>
      <c r="B52" s="7">
        <f>'06 Returns'!B52-'05 Factors'!$B52</f>
        <v>-8.0019425504814085E-2</v>
      </c>
      <c r="C52" s="7">
        <f>'06 Returns'!C52-'05 Factors'!$B52</f>
        <v>-2.4532743159891488E-2</v>
      </c>
      <c r="D52" s="7">
        <f>'06 Returns'!D52-'05 Factors'!$B52</f>
        <v>-2.8905256498214832E-3</v>
      </c>
      <c r="E52" s="7">
        <f>'06 Returns'!E52-'05 Factors'!$B52</f>
        <v>6.9472377805203572E-2</v>
      </c>
      <c r="F52" s="7">
        <f>'06 Returns'!F52-'05 Factors'!$B52</f>
        <v>3.7361585277772467E-2</v>
      </c>
      <c r="G52" s="7">
        <f>'06 Returns'!G52-'05 Factors'!$B52</f>
        <v>8.8892892728065463E-3</v>
      </c>
      <c r="H52" s="7">
        <f>'06 Returns'!H52-'05 Factors'!$B52</f>
        <v>-3.0145167907583465E-3</v>
      </c>
      <c r="I52" s="7">
        <f>'06 Returns'!I52-'05 Factors'!$B52</f>
        <v>2.9303953278693864E-2</v>
      </c>
      <c r="J52" s="7">
        <f>'06 Returns'!J52-'05 Factors'!$B52</f>
        <v>3.6883785910172516E-2</v>
      </c>
      <c r="K52" s="7">
        <f>'06 Returns'!K52-'05 Factors'!$B52</f>
        <v>3.6026658986492176E-2</v>
      </c>
      <c r="L52" s="7">
        <f>'06 Returns'!L52-'05 Factors'!$B52</f>
        <v>1.6910674837268071E-2</v>
      </c>
    </row>
    <row r="53" spans="1:12" x14ac:dyDescent="0.3">
      <c r="A53" s="16">
        <f>'06 Returns'!A53</f>
        <v>43769</v>
      </c>
      <c r="B53" s="7">
        <f>'06 Returns'!B53-'05 Factors'!$B53</f>
        <v>0.16890360721301773</v>
      </c>
      <c r="C53" s="7">
        <f>'06 Returns'!C53-'05 Factors'!$B53</f>
        <v>2.1974701268864527E-2</v>
      </c>
      <c r="D53" s="7">
        <f>'06 Returns'!D53-'05 Factors'!$B53</f>
        <v>-4.8336884774207667E-2</v>
      </c>
      <c r="E53" s="7">
        <f>'06 Returns'!E53-'05 Factors'!$B53</f>
        <v>6.8435367773724221E-2</v>
      </c>
      <c r="F53" s="7">
        <f>'06 Returns'!F53-'05 Factors'!$B53</f>
        <v>0.15332302545900994</v>
      </c>
      <c r="G53" s="7">
        <f>'06 Returns'!G53-'05 Factors'!$B53</f>
        <v>6.6409904539527498E-2</v>
      </c>
      <c r="H53" s="7">
        <f>'06 Returns'!H53-'05 Factors'!$B53</f>
        <v>-1.5E-3</v>
      </c>
      <c r="I53" s="7">
        <f>'06 Returns'!I53-'05 Factors'!$B53</f>
        <v>-4.4553522126056844E-2</v>
      </c>
      <c r="J53" s="7">
        <f>'06 Returns'!J53-'05 Factors'!$B53</f>
        <v>-1.3465069632222213E-2</v>
      </c>
      <c r="K53" s="7">
        <f>'06 Returns'!K53-'05 Factors'!$B53</f>
        <v>1.0746318565714676E-2</v>
      </c>
      <c r="L53" s="7">
        <f>'06 Returns'!L53-'05 Factors'!$B53</f>
        <v>2.0159014861094005E-2</v>
      </c>
    </row>
    <row r="54" spans="1:12" x14ac:dyDescent="0.3">
      <c r="A54" s="16">
        <f>'06 Returns'!A54</f>
        <v>43799</v>
      </c>
      <c r="B54" s="7">
        <f>'06 Returns'!B54-'05 Factors'!$B54</f>
        <v>0.15264618843932073</v>
      </c>
      <c r="C54" s="7">
        <f>'06 Returns'!C54-'05 Factors'!$B54</f>
        <v>1.2387301227158566E-2</v>
      </c>
      <c r="D54" s="7">
        <f>'06 Returns'!D54-'05 Factors'!$B54</f>
        <v>5.351506191755382E-2</v>
      </c>
      <c r="E54" s="7">
        <f>'06 Returns'!E54-'05 Factors'!$B54</f>
        <v>5.355500721065929E-2</v>
      </c>
      <c r="F54" s="7">
        <f>'06 Returns'!F54-'05 Factors'!$B54</f>
        <v>7.7796909798263231E-2</v>
      </c>
      <c r="G54" s="7">
        <f>'06 Returns'!G54-'05 Factors'!$B54</f>
        <v>1.241153591753328E-2</v>
      </c>
      <c r="H54" s="7">
        <f>'06 Returns'!H54-'05 Factors'!$B54</f>
        <v>0.17503503676193963</v>
      </c>
      <c r="I54" s="7">
        <f>'06 Returns'!I54-'05 Factors'!$B54</f>
        <v>1.9247500354680237E-2</v>
      </c>
      <c r="J54" s="7">
        <f>'06 Returns'!J54-'05 Factors'!$B54</f>
        <v>1.4406289538205198E-2</v>
      </c>
      <c r="K54" s="7">
        <f>'06 Returns'!K54-'05 Factors'!$B54</f>
        <v>-5.0034947205093369E-3</v>
      </c>
      <c r="L54" s="7">
        <f>'06 Returns'!L54-'05 Factors'!$B54</f>
        <v>3.5099051893293966E-2</v>
      </c>
    </row>
    <row r="55" spans="1:12" x14ac:dyDescent="0.3">
      <c r="A55" s="16">
        <f>'06 Returns'!A55</f>
        <v>43830</v>
      </c>
      <c r="B55" s="7">
        <f>'06 Returns'!B55-'05 Factors'!$B55</f>
        <v>0.16999205167235926</v>
      </c>
      <c r="C55" s="7">
        <f>'06 Returns'!C55-'05 Factors'!$B55</f>
        <v>2.4721694264610974E-2</v>
      </c>
      <c r="D55" s="7">
        <f>'06 Returns'!D55-'05 Factors'!$B55</f>
        <v>2.5090081694412694E-2</v>
      </c>
      <c r="E55" s="7">
        <f>'06 Returns'!E55-'05 Factors'!$B55</f>
        <v>5.6584023577020595E-2</v>
      </c>
      <c r="F55" s="7">
        <f>'06 Returns'!F55-'05 Factors'!$B55</f>
        <v>8.4232220366488766E-2</v>
      </c>
      <c r="G55" s="7">
        <f>'06 Returns'!G55-'05 Factors'!$B55</f>
        <v>1.5733547005551143E-2</v>
      </c>
      <c r="H55" s="7">
        <f>'06 Returns'!H55-'05 Factors'!$B55</f>
        <v>2.4197909112143659E-2</v>
      </c>
      <c r="I55" s="7">
        <f>'06 Returns'!I55-'05 Factors'!$B55</f>
        <v>2.2818534283428463E-2</v>
      </c>
      <c r="J55" s="7">
        <f>'06 Returns'!J55-'05 Factors'!$B55</f>
        <v>9.7663621609152111E-4</v>
      </c>
      <c r="K55" s="7">
        <f>'06 Returns'!K55-'05 Factors'!$B55</f>
        <v>1.7856335838352846E-2</v>
      </c>
      <c r="L55" s="7">
        <f>'06 Returns'!L55-'05 Factors'!$B55</f>
        <v>2.8782811112618337E-2</v>
      </c>
    </row>
    <row r="56" spans="1:12" x14ac:dyDescent="0.3">
      <c r="A56" s="16">
        <f>'06 Returns'!A56</f>
        <v>43861</v>
      </c>
      <c r="B56" s="7">
        <f>'06 Returns'!B56-'05 Factors'!$B56</f>
        <v>2.3558250641659919E-2</v>
      </c>
      <c r="C56" s="7">
        <f>'06 Returns'!C56-'05 Factors'!$B56</f>
        <v>8.576380278370474E-2</v>
      </c>
      <c r="D56" s="7">
        <f>'06 Returns'!D56-'05 Factors'!$B56</f>
        <v>-3.678396225953421E-2</v>
      </c>
      <c r="E56" s="7">
        <f>'06 Returns'!E56-'05 Factors'!$B56</f>
        <v>-4.5706343417197516E-2</v>
      </c>
      <c r="F56" s="7">
        <f>'06 Returns'!F56-'05 Factors'!$B56</f>
        <v>3.5024306290725961E-3</v>
      </c>
      <c r="G56" s="7">
        <f>'06 Returns'!G56-'05 Factors'!$B56</f>
        <v>-4.1105458229367987E-2</v>
      </c>
      <c r="H56" s="7">
        <f>'06 Returns'!H56-'05 Factors'!$B56</f>
        <v>-0.13756089740989122</v>
      </c>
      <c r="I56" s="7">
        <f>'06 Returns'!I56-'05 Factors'!$B56</f>
        <v>-0.11107354752423873</v>
      </c>
      <c r="J56" s="7">
        <f>'06 Returns'!J56-'05 Factors'!$B56</f>
        <v>-3.790356370408713E-2</v>
      </c>
      <c r="K56" s="7">
        <f>'06 Returns'!K56-'05 Factors'!$B56</f>
        <v>-2.314711814122453E-2</v>
      </c>
      <c r="L56" s="7">
        <f>'06 Returns'!L56-'05 Factors'!$B56</f>
        <v>-1.6921258625341206E-3</v>
      </c>
    </row>
    <row r="57" spans="1:12" x14ac:dyDescent="0.3">
      <c r="A57" s="16">
        <f>'06 Returns'!A57</f>
        <v>43890</v>
      </c>
      <c r="B57" s="7">
        <f>'06 Returns'!B57-'05 Factors'!$B57</f>
        <v>-3.3540435272340428E-2</v>
      </c>
      <c r="C57" s="7">
        <f>'06 Returns'!C57-'05 Factors'!$B57</f>
        <v>-6.3413720131041101E-2</v>
      </c>
      <c r="D57" s="7">
        <f>'06 Returns'!D57-'05 Factors'!$B57</f>
        <v>-0.2120843537416334</v>
      </c>
      <c r="E57" s="7">
        <f>'06 Returns'!E57-'05 Factors'!$B57</f>
        <v>-0.12397117992084608</v>
      </c>
      <c r="F57" s="7">
        <f>'06 Returns'!F57-'05 Factors'!$B57</f>
        <v>0.14176643400643782</v>
      </c>
      <c r="G57" s="7">
        <f>'06 Returns'!G57-'05 Factors'!$B57</f>
        <v>-0.10377792392762988</v>
      </c>
      <c r="H57" s="7">
        <f>'06 Returns'!H57-'05 Factors'!$B57</f>
        <v>-6.5799713057867498E-2</v>
      </c>
      <c r="I57" s="7">
        <f>'06 Returns'!I57-'05 Factors'!$B57</f>
        <v>-0.16123701824061612</v>
      </c>
      <c r="J57" s="7">
        <f>'06 Returns'!J57-'05 Factors'!$B57</f>
        <v>-6.0681364744487508E-2</v>
      </c>
      <c r="K57" s="7">
        <f>'06 Returns'!K57-'05 Factors'!$B57</f>
        <v>-9.002904275701254E-2</v>
      </c>
      <c r="L57" s="7">
        <f>'06 Returns'!L57-'05 Factors'!$B57</f>
        <v>-8.3518732946115143E-2</v>
      </c>
    </row>
    <row r="58" spans="1:12" x14ac:dyDescent="0.3">
      <c r="A58" s="16">
        <f>'06 Returns'!A58</f>
        <v>43921</v>
      </c>
      <c r="B58" s="7">
        <f>'06 Returns'!B58-'05 Factors'!$B58</f>
        <v>-1.1999999999999999E-3</v>
      </c>
      <c r="C58" s="7">
        <f>'06 Returns'!C58-'05 Factors'!$B58</f>
        <v>3.3820571317849969E-2</v>
      </c>
      <c r="D58" s="7">
        <f>'06 Returns'!D58-'05 Factors'!$B58</f>
        <v>-0.30723457618341588</v>
      </c>
      <c r="E58" s="7">
        <f>'06 Returns'!E58-'05 Factors'!$B58</f>
        <v>-0.22581461988749987</v>
      </c>
      <c r="F58" s="7">
        <f>'06 Returns'!F58-'05 Factors'!$B58</f>
        <v>-2.515654172719619E-2</v>
      </c>
      <c r="G58" s="7">
        <f>'06 Returns'!G58-'05 Factors'!$B58</f>
        <v>-2.4539195619123565E-2</v>
      </c>
      <c r="H58" s="7">
        <f>'06 Returns'!H58-'05 Factors'!$B58</f>
        <v>-9.8578858916241657E-2</v>
      </c>
      <c r="I58" s="7">
        <f>'06 Returns'!I58-'05 Factors'!$B58</f>
        <v>-0.263058639666648</v>
      </c>
      <c r="J58" s="7">
        <f>'06 Returns'!J58-'05 Factors'!$B58</f>
        <v>5.8632660867610299E-2</v>
      </c>
      <c r="K58" s="7">
        <f>'06 Returns'!K58-'05 Factors'!$B58</f>
        <v>-9.1392230454335963E-3</v>
      </c>
      <c r="L58" s="7">
        <f>'06 Returns'!L58-'05 Factors'!$B58</f>
        <v>-0.12471349571125426</v>
      </c>
    </row>
    <row r="59" spans="1:12" x14ac:dyDescent="0.3">
      <c r="A59" s="16">
        <f>'06 Returns'!A59</f>
        <v>43951</v>
      </c>
      <c r="B59" s="7">
        <f>'06 Returns'!B59-'05 Factors'!$B59</f>
        <v>0.15193491462083997</v>
      </c>
      <c r="C59" s="7">
        <f>'06 Returns'!C59-'05 Factors'!$B59</f>
        <v>0.26890011766404509</v>
      </c>
      <c r="D59" s="7">
        <f>'06 Returns'!D59-'05 Factors'!$B59</f>
        <v>5.3830122805162528E-2</v>
      </c>
      <c r="E59" s="7">
        <f>'06 Returns'!E59-'05 Factors'!$B59</f>
        <v>7.4698282372099856E-2</v>
      </c>
      <c r="F59" s="7">
        <f>'06 Returns'!F59-'05 Factors'!$B59</f>
        <v>0.10880106939540135</v>
      </c>
      <c r="G59" s="7">
        <f>'06 Returns'!G59-'05 Factors'!$B59</f>
        <v>0.17524472667923319</v>
      </c>
      <c r="H59" s="7">
        <f>'06 Returns'!H59-'05 Factors'!$B59</f>
        <v>0.18038065654835722</v>
      </c>
      <c r="I59" s="7">
        <f>'06 Returns'!I59-'05 Factors'!$B59</f>
        <v>0.22386101836187655</v>
      </c>
      <c r="J59" s="7">
        <f>'06 Returns'!J59-'05 Factors'!$B59</f>
        <v>6.9794014911489732E-2</v>
      </c>
      <c r="K59" s="7">
        <f>'06 Returns'!K59-'05 Factors'!$B59</f>
        <v>8.0733899567292156E-2</v>
      </c>
      <c r="L59" s="7">
        <f>'06 Returns'!L59-'05 Factors'!$B59</f>
        <v>0.12819402479169995</v>
      </c>
    </row>
    <row r="60" spans="1:12" x14ac:dyDescent="0.3">
      <c r="A60" s="16">
        <f>'06 Returns'!A60</f>
        <v>43982</v>
      </c>
      <c r="B60" s="7">
        <f>'06 Returns'!B60-'05 Factors'!$B60</f>
        <v>2.6813530519717899E-2</v>
      </c>
      <c r="C60" s="7">
        <f>'06 Returns'!C60-'05 Factors'!$B60</f>
        <v>-1.2884941237022118E-2</v>
      </c>
      <c r="D60" s="7">
        <f>'06 Returns'!D60-'05 Factors'!$B60</f>
        <v>0.121707834805429</v>
      </c>
      <c r="E60" s="7">
        <f>'06 Returns'!E60-'05 Factors'!$B60</f>
        <v>1.6086250693733362E-2</v>
      </c>
      <c r="F60" s="7">
        <f>'06 Returns'!F60-'05 Factors'!$B60</f>
        <v>0.21455723191698084</v>
      </c>
      <c r="G60" s="7">
        <f>'06 Returns'!G60-'05 Factors'!$B60</f>
        <v>5.390214724290565E-3</v>
      </c>
      <c r="H60" s="7">
        <f>'06 Returns'!H60-'05 Factors'!$B60</f>
        <v>0.12053339919324289</v>
      </c>
      <c r="I60" s="7">
        <f>'06 Returns'!I60-'05 Factors'!$B60</f>
        <v>-2.6469979015779741E-3</v>
      </c>
      <c r="J60" s="7">
        <f>'06 Returns'!J60-'05 Factors'!$B60</f>
        <v>2.503938351345102E-2</v>
      </c>
      <c r="K60" s="7">
        <f>'06 Returns'!K60-'05 Factors'!$B60</f>
        <v>-1.3183355617673142E-3</v>
      </c>
      <c r="L60" s="7">
        <f>'06 Returns'!L60-'05 Factors'!$B60</f>
        <v>4.7527437378975565E-2</v>
      </c>
    </row>
    <row r="61" spans="1:12" x14ac:dyDescent="0.3">
      <c r="A61" s="16">
        <f>'06 Returns'!A61</f>
        <v>44012</v>
      </c>
      <c r="B61" s="7">
        <f>'06 Returns'!B61-'05 Factors'!$B61</f>
        <v>-2.2218933895437509E-2</v>
      </c>
      <c r="C61" s="7">
        <f>'06 Returns'!C61-'05 Factors'!$B61</f>
        <v>0.12946672853510544</v>
      </c>
      <c r="D61" s="7">
        <f>'06 Returns'!D61-'05 Factors'!$B61</f>
        <v>6.4698346069124599E-2</v>
      </c>
      <c r="E61" s="7">
        <f>'06 Returns'!E61-'05 Factors'!$B61</f>
        <v>-3.3498372750967467E-2</v>
      </c>
      <c r="F61" s="7">
        <f>'06 Returns'!F61-'05 Factors'!$B61</f>
        <v>7.049676517376556E-2</v>
      </c>
      <c r="G61" s="7">
        <f>'06 Returns'!G61-'05 Factors'!$B61</f>
        <v>-0.14385493338488176</v>
      </c>
      <c r="H61" s="7">
        <f>'06 Returns'!H61-'05 Factors'!$B61</f>
        <v>-1.971911028331198E-2</v>
      </c>
      <c r="I61" s="7">
        <f>'06 Returns'!I61-'05 Factors'!$B61</f>
        <v>-1.6594317331316787E-2</v>
      </c>
      <c r="J61" s="7">
        <f>'06 Returns'!J61-'05 Factors'!$B61</f>
        <v>-3.4599415512989853E-2</v>
      </c>
      <c r="K61" s="7">
        <f>'06 Returns'!K61-'05 Factors'!$B61</f>
        <v>-3.9312035034702944E-2</v>
      </c>
      <c r="L61" s="7">
        <f>'06 Returns'!L61-'05 Factors'!$B61</f>
        <v>1.9788188966065368E-2</v>
      </c>
    </row>
    <row r="62" spans="1:12" x14ac:dyDescent="0.3">
      <c r="A62" s="16">
        <f>'06 Returns'!A62</f>
        <v>44043</v>
      </c>
      <c r="B62" s="7">
        <f>'06 Returns'!B62-'05 Factors'!$B62</f>
        <v>0.47167341583025091</v>
      </c>
      <c r="C62" s="7">
        <f>'06 Returns'!C62-'05 Factors'!$B62</f>
        <v>0.14701362184550537</v>
      </c>
      <c r="D62" s="7">
        <f>'06 Returns'!D62-'05 Factors'!$B62</f>
        <v>8.7070975938890557E-2</v>
      </c>
      <c r="E62" s="7">
        <f>'06 Returns'!E62-'05 Factors'!$B62</f>
        <v>3.7341044208808225E-2</v>
      </c>
      <c r="F62" s="7">
        <f>'06 Returns'!F62-'05 Factors'!$B62</f>
        <v>0.1175067643768417</v>
      </c>
      <c r="G62" s="7">
        <f>'06 Returns'!G62-'05 Factors'!$B62</f>
        <v>0.18815949933501552</v>
      </c>
      <c r="H62" s="7">
        <f>'06 Returns'!H62-'05 Factors'!$B62</f>
        <v>4.9512411095523387E-2</v>
      </c>
      <c r="I62" s="7">
        <f>'06 Returns'!I62-'05 Factors'!$B62</f>
        <v>-5.9134180406266404E-2</v>
      </c>
      <c r="J62" s="7">
        <f>'06 Returns'!J62-'05 Factors'!$B62</f>
        <v>8.0214116881064376E-2</v>
      </c>
      <c r="K62" s="7">
        <f>'06 Returns'!K62-'05 Factors'!$B62</f>
        <v>5.4234787433379492E-2</v>
      </c>
      <c r="L62" s="7">
        <f>'06 Returns'!L62-'05 Factors'!$B62</f>
        <v>5.6285193360928951E-2</v>
      </c>
    </row>
    <row r="63" spans="1:12" x14ac:dyDescent="0.3">
      <c r="A63" s="16">
        <f>'06 Returns'!A63</f>
        <v>44074</v>
      </c>
      <c r="B63" s="7">
        <f>'06 Returns'!B63-'05 Factors'!$B63</f>
        <v>0.17283038017333929</v>
      </c>
      <c r="C63" s="7">
        <f>'06 Returns'!C63-'05 Factors'!$B63</f>
        <v>9.0361033692397882E-2</v>
      </c>
      <c r="D63" s="7">
        <f>'06 Returns'!D63-'05 Factors'!$B63</f>
        <v>3.1670396455437885E-2</v>
      </c>
      <c r="E63" s="7">
        <f>'06 Returns'!E63-'05 Factors'!$B63</f>
        <v>3.6634338978563705E-2</v>
      </c>
      <c r="F63" s="7">
        <f>'06 Returns'!F63-'05 Factors'!$B63</f>
        <v>0.2598924421662685</v>
      </c>
      <c r="G63" s="7">
        <f>'06 Returns'!G63-'05 Factors'!$B63</f>
        <v>-1.8031193157588953E-2</v>
      </c>
      <c r="H63" s="7">
        <f>'06 Returns'!H63-'05 Factors'!$B63</f>
        <v>0.20706139788399369</v>
      </c>
      <c r="I63" s="7">
        <f>'06 Returns'!I63-'05 Factors'!$B63</f>
        <v>-3.2230927030938675E-2</v>
      </c>
      <c r="J63" s="7">
        <f>'06 Returns'!J63-'05 Factors'!$B63</f>
        <v>7.7340625874093169E-2</v>
      </c>
      <c r="K63" s="7">
        <f>'06 Returns'!K63-'05 Factors'!$B63</f>
        <v>3.1041406421677954E-2</v>
      </c>
      <c r="L63" s="7">
        <f>'06 Returns'!L63-'05 Factors'!$B63</f>
        <v>7.1779799946431119E-2</v>
      </c>
    </row>
    <row r="64" spans="1:12" x14ac:dyDescent="0.3">
      <c r="A64" s="16">
        <f>'06 Returns'!A64</f>
        <v>44104</v>
      </c>
      <c r="B64" s="7">
        <f>'06 Returns'!B64-'05 Factors'!$B64</f>
        <v>-9.7325301262642175E-2</v>
      </c>
      <c r="C64" s="7">
        <f>'06 Returns'!C64-'05 Factors'!$B64</f>
        <v>-8.7678591850087098E-2</v>
      </c>
      <c r="D64" s="7">
        <f>'06 Returns'!D64-'05 Factors'!$B64</f>
        <v>-2.356082072284894E-2</v>
      </c>
      <c r="E64" s="7">
        <f>'06 Returns'!E64-'05 Factors'!$B64</f>
        <v>-3.9225825545963669E-2</v>
      </c>
      <c r="F64" s="7">
        <f>'06 Returns'!F64-'05 Factors'!$B64</f>
        <v>1.1866511836581706E-2</v>
      </c>
      <c r="G64" s="7">
        <f>'06 Returns'!G64-'05 Factors'!$B64</f>
        <v>-2.894384566203002E-2</v>
      </c>
      <c r="H64" s="7">
        <f>'06 Returns'!H64-'05 Factors'!$B64</f>
        <v>4.0968832286613729E-2</v>
      </c>
      <c r="I64" s="7">
        <f>'06 Returns'!I64-'05 Factors'!$B64</f>
        <v>-0.14056055434484827</v>
      </c>
      <c r="J64" s="7">
        <f>'06 Returns'!J64-'05 Factors'!$B64</f>
        <v>7.5343713440438774E-3</v>
      </c>
      <c r="K64" s="7">
        <f>'06 Returns'!K64-'05 Factors'!$B64</f>
        <v>3.611844432352285E-3</v>
      </c>
      <c r="L64" s="7">
        <f>'06 Returns'!L64-'05 Factors'!$B64</f>
        <v>-3.8097164998167857E-2</v>
      </c>
    </row>
    <row r="65" spans="1:12" x14ac:dyDescent="0.3">
      <c r="A65" s="16">
        <f>'06 Returns'!A65</f>
        <v>44135</v>
      </c>
      <c r="B65" s="7">
        <f>'06 Returns'!B65-'05 Factors'!$B65</f>
        <v>-8.1817247504139337E-2</v>
      </c>
      <c r="C65" s="7">
        <f>'06 Returns'!C65-'05 Factors'!$B65</f>
        <v>-3.5854085336875077E-2</v>
      </c>
      <c r="D65" s="7">
        <f>'06 Returns'!D65-'05 Factors'!$B65</f>
        <v>0.16056082162224072</v>
      </c>
      <c r="E65" s="7">
        <f>'06 Returns'!E65-'05 Factors'!$B65</f>
        <v>2.7735831310847548E-2</v>
      </c>
      <c r="F65" s="7">
        <f>'06 Returns'!F65-'05 Factors'!$B65</f>
        <v>-7.3748339463191606E-2</v>
      </c>
      <c r="G65" s="7">
        <f>'06 Returns'!G65-'05 Factors'!$B65</f>
        <v>-3.3342455329234091E-2</v>
      </c>
      <c r="H65" s="7">
        <f>'06 Returns'!H65-'05 Factors'!$B65</f>
        <v>-3.3133077203278419E-2</v>
      </c>
      <c r="I65" s="7">
        <f>'06 Returns'!I65-'05 Factors'!$B65</f>
        <v>-4.9910852057482261E-2</v>
      </c>
      <c r="J65" s="7">
        <f>'06 Returns'!J65-'05 Factors'!$B65</f>
        <v>-8.3911093562162413E-3</v>
      </c>
      <c r="K65" s="7">
        <f>'06 Returns'!K65-'05 Factors'!$B65</f>
        <v>-3.1924033962982504E-2</v>
      </c>
      <c r="L65" s="7">
        <f>'06 Returns'!L65-'05 Factors'!$B65</f>
        <v>-2.6692680018526215E-2</v>
      </c>
    </row>
    <row r="66" spans="1:12" x14ac:dyDescent="0.3">
      <c r="A66" s="16">
        <f>'06 Returns'!A66</f>
        <v>44165</v>
      </c>
      <c r="B66" s="7">
        <f>'06 Returns'!B66-'05 Factors'!$B66</f>
        <v>0.23060796301483411</v>
      </c>
      <c r="C66" s="7">
        <f>'06 Returns'!C66-'05 Factors'!$B66</f>
        <v>4.3339868867591433E-2</v>
      </c>
      <c r="D66" s="7">
        <f>'06 Returns'!D66-'05 Factors'!$B66</f>
        <v>0.17454448043573056</v>
      </c>
      <c r="E66" s="7">
        <f>'06 Returns'!E66-'05 Factors'!$B66</f>
        <v>0.2022663057949976</v>
      </c>
      <c r="F66" s="7">
        <f>'06 Returns'!F66-'05 Factors'!$B66</f>
        <v>6.9111518956571846E-2</v>
      </c>
      <c r="G66" s="7">
        <f>'06 Returns'!G66-'05 Factors'!$B66</f>
        <v>0.14967467424201897</v>
      </c>
      <c r="H66" s="7">
        <f>'06 Returns'!H66-'05 Factors'!$B66</f>
        <v>0.18418704722899859</v>
      </c>
      <c r="I66" s="7">
        <f>'06 Returns'!I66-'05 Factors'!$B66</f>
        <v>0.19701684954275644</v>
      </c>
      <c r="J66" s="7">
        <f>'06 Returns'!J66-'05 Factors'!$B66</f>
        <v>0.10108905271295619</v>
      </c>
      <c r="K66" s="7">
        <f>'06 Returns'!K66-'05 Factors'!$B66</f>
        <v>5.991048352240623E-2</v>
      </c>
      <c r="L66" s="7">
        <f>'06 Returns'!L66-'05 Factors'!$B66</f>
        <v>0.10936365941042346</v>
      </c>
    </row>
    <row r="67" spans="1:12" x14ac:dyDescent="0.3">
      <c r="A67" s="16">
        <f>'06 Returns'!A67</f>
        <v>44196</v>
      </c>
      <c r="B67" s="7">
        <f>'06 Returns'!B67-'05 Factors'!$B67</f>
        <v>-1.0352585150593684E-2</v>
      </c>
      <c r="C67" s="7">
        <f>'06 Returns'!C67-'05 Factors'!$B67</f>
        <v>2.7958383013323419E-2</v>
      </c>
      <c r="D67" s="7">
        <f>'06 Returns'!D67-'05 Factors'!$B67</f>
        <v>-3.2038766068778771E-2</v>
      </c>
      <c r="E67" s="7">
        <f>'06 Returns'!E67-'05 Factors'!$B67</f>
        <v>7.7860790458518667E-2</v>
      </c>
      <c r="F67" s="7">
        <f>'06 Returns'!F67-'05 Factors'!$B67</f>
        <v>-2.5667393350599543E-2</v>
      </c>
      <c r="G67" s="7">
        <f>'06 Returns'!G67-'05 Factors'!$B67</f>
        <v>-3.9254275557118148E-2</v>
      </c>
      <c r="H67" s="7">
        <f>'06 Returns'!H67-'05 Factors'!$B67</f>
        <v>-1.6810372968433251E-2</v>
      </c>
      <c r="I67" s="7">
        <f>'06 Returns'!I67-'05 Factors'!$B67</f>
        <v>8.0938624429520253E-2</v>
      </c>
      <c r="J67" s="7">
        <f>'06 Returns'!J67-'05 Factors'!$B67</f>
        <v>-5.3199679015820137E-2</v>
      </c>
      <c r="K67" s="7">
        <f>'06 Returns'!K67-'05 Factors'!$B67</f>
        <v>-2.7578804291094283E-2</v>
      </c>
      <c r="L67" s="7">
        <f>'06 Returns'!L67-'05 Factors'!$B67</f>
        <v>3.8348571989156741E-2</v>
      </c>
    </row>
    <row r="68" spans="1:12" x14ac:dyDescent="0.3">
      <c r="A68" s="16">
        <f>'06 Returns'!A68</f>
        <v>44227</v>
      </c>
      <c r="B68" s="7">
        <f>'06 Returns'!B68-'05 Factors'!$B68</f>
        <v>-6.6186890802465315E-2</v>
      </c>
      <c r="C68" s="7">
        <f>'06 Returns'!C68-'05 Factors'!$B68</f>
        <v>-1.5576012233844638E-2</v>
      </c>
      <c r="D68" s="7">
        <f>'06 Returns'!D68-'05 Factors'!$B68</f>
        <v>0.19795244691639158</v>
      </c>
      <c r="E68" s="7">
        <f>'06 Returns'!E68-'05 Factors'!$B68</f>
        <v>1.988369510287491E-2</v>
      </c>
      <c r="F68" s="7">
        <f>'06 Returns'!F68-'05 Factors'!$B68</f>
        <v>-4.9981264977494444E-3</v>
      </c>
      <c r="G68" s="7">
        <f>'06 Returns'!G68-'05 Factors'!$B68</f>
        <v>-1.4111810602686625E-2</v>
      </c>
      <c r="H68" s="7">
        <f>'06 Returns'!H68-'05 Factors'!$B68</f>
        <v>2.6284217317646963E-2</v>
      </c>
      <c r="I68" s="7">
        <f>'06 Returns'!I68-'05 Factors'!$B68</f>
        <v>8.7821112617180841E-2</v>
      </c>
      <c r="J68" s="7">
        <f>'06 Returns'!J68-'05 Factors'!$B68</f>
        <v>-2.5390027739931709E-2</v>
      </c>
      <c r="K68" s="7">
        <f>'06 Returns'!K68-'05 Factors'!$B68</f>
        <v>-5.8108743133751473E-2</v>
      </c>
      <c r="L68" s="7">
        <f>'06 Returns'!L68-'05 Factors'!$B68</f>
        <v>-1.009624917731522E-2</v>
      </c>
    </row>
    <row r="69" spans="1:12" x14ac:dyDescent="0.3">
      <c r="A69" s="16">
        <f>'06 Returns'!A69</f>
        <v>44255</v>
      </c>
      <c r="B69" s="7">
        <f>'06 Returns'!B69-'05 Factors'!$B69</f>
        <v>-1.3194736822210062E-2</v>
      </c>
      <c r="C69" s="7">
        <f>'06 Returns'!C69-'05 Factors'!$B69</f>
        <v>-3.5328413768552558E-2</v>
      </c>
      <c r="D69" s="7">
        <f>'06 Returns'!D69-'05 Factors'!$B69</f>
        <v>0.11111128950071603</v>
      </c>
      <c r="E69" s="7">
        <f>'06 Returns'!E69-'05 Factors'!$B69</f>
        <v>0.14377865967600378</v>
      </c>
      <c r="F69" s="7">
        <f>'06 Returns'!F69-'05 Factors'!$B69</f>
        <v>5.5794130454113411E-2</v>
      </c>
      <c r="G69" s="7">
        <f>'06 Returns'!G69-'05 Factors'!$B69</f>
        <v>-6.7130807539322879E-2</v>
      </c>
      <c r="H69" s="7">
        <f>'06 Returns'!H69-'05 Factors'!$B69</f>
        <v>1.6139312188543142E-2</v>
      </c>
      <c r="I69" s="7">
        <f>'06 Returns'!I69-'05 Factors'!$B69</f>
        <v>0.23312508686735134</v>
      </c>
      <c r="J69" s="7">
        <f>'06 Returns'!J69-'05 Factors'!$B69</f>
        <v>-7.5236498179050981E-2</v>
      </c>
      <c r="K69" s="7">
        <f>'06 Returns'!K69-'05 Factors'!$B69</f>
        <v>1.004580261500565E-2</v>
      </c>
      <c r="L69" s="7">
        <f>'06 Returns'!L69-'05 Factors'!$B69</f>
        <v>2.7574537649725839E-2</v>
      </c>
    </row>
    <row r="70" spans="1:12" x14ac:dyDescent="0.3">
      <c r="A70" s="16">
        <f>'06 Returns'!A70</f>
        <v>44286</v>
      </c>
      <c r="B70" s="7">
        <f>'06 Returns'!B70-'05 Factors'!$B70</f>
        <v>-7.1115867758635432E-2</v>
      </c>
      <c r="C70" s="7">
        <f>'06 Returns'!C70-'05 Factors'!$B70</f>
        <v>3.7178414730409948E-4</v>
      </c>
      <c r="D70" s="7">
        <f>'06 Returns'!D70-'05 Factors'!$B70</f>
        <v>4.7008318056814824E-2</v>
      </c>
      <c r="E70" s="7">
        <f>'06 Returns'!E70-'05 Factors'!$B70</f>
        <v>3.4382057999254867E-2</v>
      </c>
      <c r="F70" s="7">
        <f>'06 Returns'!F70-'05 Factors'!$B70</f>
        <v>-2.6369251009312866E-2</v>
      </c>
      <c r="G70" s="7">
        <f>'06 Returns'!G70-'05 Factors'!$B70</f>
        <v>8.1815438425558051E-2</v>
      </c>
      <c r="H70" s="7">
        <f>'06 Returns'!H70-'05 Factors'!$B70</f>
        <v>7.9753623905303606E-2</v>
      </c>
      <c r="I70" s="7">
        <f>'06 Returns'!I70-'05 Factors'!$B70</f>
        <v>2.6852932782729377E-2</v>
      </c>
      <c r="J70" s="7">
        <f>'06 Returns'!J70-'05 Factors'!$B70</f>
        <v>4.9854416392226319E-2</v>
      </c>
      <c r="K70" s="7">
        <f>'06 Returns'!K70-'05 Factors'!$B70</f>
        <v>5.1537036856356355E-2</v>
      </c>
      <c r="L70" s="7">
        <f>'06 Returns'!L70-'05 Factors'!$B70</f>
        <v>4.3795607343140919E-2</v>
      </c>
    </row>
    <row r="71" spans="1:12" x14ac:dyDescent="0.3">
      <c r="A71" s="16">
        <f>'06 Returns'!A71</f>
        <v>44316</v>
      </c>
      <c r="B71" s="7">
        <f>'06 Returns'!B71-'05 Factors'!$B71</f>
        <v>3.9745257918471166E-2</v>
      </c>
      <c r="C71" s="7">
        <f>'06 Returns'!C71-'05 Factors'!$B71</f>
        <v>0.12066273709379649</v>
      </c>
      <c r="D71" s="7">
        <f>'06 Returns'!D71-'05 Factors'!$B71</f>
        <v>-5.7959049175069333E-2</v>
      </c>
      <c r="E71" s="7">
        <f>'06 Returns'!E71-'05 Factors'!$B71</f>
        <v>1.633007062897418E-2</v>
      </c>
      <c r="F71" s="7">
        <f>'06 Returns'!F71-'05 Factors'!$B71</f>
        <v>0.12445421195351103</v>
      </c>
      <c r="G71" s="7">
        <f>'06 Returns'!G71-'05 Factors'!$B71</f>
        <v>6.6795427083422565E-2</v>
      </c>
      <c r="H71" s="7">
        <f>'06 Returns'!H71-'05 Factors'!$B71</f>
        <v>4.6397765557708803E-2</v>
      </c>
      <c r="I71" s="7">
        <f>'06 Returns'!I71-'05 Factors'!$B71</f>
        <v>2.5255327974350594E-2</v>
      </c>
      <c r="J71" s="7">
        <f>'06 Returns'!J71-'05 Factors'!$B71</f>
        <v>3.0037696917060153E-2</v>
      </c>
      <c r="K71" s="7">
        <f>'06 Returns'!K71-'05 Factors'!$B71</f>
        <v>4.500829470530654E-3</v>
      </c>
      <c r="L71" s="7">
        <f>'06 Returns'!L71-'05 Factors'!$B71</f>
        <v>5.3369027112194045E-2</v>
      </c>
    </row>
    <row r="72" spans="1:12" x14ac:dyDescent="0.3">
      <c r="A72" s="16">
        <f>'06 Returns'!A72</f>
        <v>44347</v>
      </c>
      <c r="B72" s="7">
        <f>'06 Returns'!B72-'05 Factors'!$B72</f>
        <v>-1.8867935109989187E-2</v>
      </c>
      <c r="C72" s="7">
        <f>'06 Returns'!C72-'05 Factors'!$B72</f>
        <v>-7.0470255257089276E-2</v>
      </c>
      <c r="D72" s="7">
        <f>'06 Returns'!D72-'05 Factors'!$B72</f>
        <v>0.25909877394339054</v>
      </c>
      <c r="E72" s="7">
        <f>'06 Returns'!E72-'05 Factors'!$B72</f>
        <v>6.7810740569443473E-2</v>
      </c>
      <c r="F72" s="7">
        <f>'06 Returns'!F72-'05 Factors'!$B72</f>
        <v>8.2281496214799521E-2</v>
      </c>
      <c r="G72" s="7">
        <f>'06 Returns'!G72-'05 Factors'!$B72</f>
        <v>1.1943839834832826E-2</v>
      </c>
      <c r="H72" s="7">
        <f>'06 Returns'!H72-'05 Factors'!$B72</f>
        <v>9.8413131996020642E-2</v>
      </c>
      <c r="I72" s="7">
        <f>'06 Returns'!I72-'05 Factors'!$B72</f>
        <v>3.4597198880541358E-2</v>
      </c>
      <c r="J72" s="7">
        <f>'06 Returns'!J72-'05 Factors'!$B72</f>
        <v>1.9139166547387898E-2</v>
      </c>
      <c r="K72" s="7">
        <f>'06 Returns'!K72-'05 Factors'!$B72</f>
        <v>-2.2495064294611788E-2</v>
      </c>
      <c r="L72" s="7">
        <f>'06 Returns'!L72-'05 Factors'!$B72</f>
        <v>6.9841272699200374E-3</v>
      </c>
    </row>
    <row r="73" spans="1:12" x14ac:dyDescent="0.3">
      <c r="A73" s="16">
        <f>'06 Returns'!A73</f>
        <v>44377</v>
      </c>
      <c r="B73" s="7">
        <f>'06 Returns'!B73-'05 Factors'!$B73</f>
        <v>0.17295202494265149</v>
      </c>
      <c r="C73" s="7">
        <f>'06 Returns'!C73-'05 Factors'!$B73</f>
        <v>6.7354987367824082E-2</v>
      </c>
      <c r="D73" s="7">
        <f>'06 Returns'!D73-'05 Factors'!$B73</f>
        <v>2.2711522443636278E-2</v>
      </c>
      <c r="E73" s="7">
        <f>'06 Returns'!E73-'05 Factors'!$B73</f>
        <v>-5.2971156072887493E-2</v>
      </c>
      <c r="F73" s="7">
        <f>'06 Returns'!F73-'05 Factors'!$B73</f>
        <v>0.2316217815675139</v>
      </c>
      <c r="G73" s="7">
        <f>'06 Returns'!G73-'05 Factors'!$B73</f>
        <v>1.1102389202059193E-2</v>
      </c>
      <c r="H73" s="7">
        <f>'06 Returns'!H73-'05 Factors'!$B73</f>
        <v>6.5309389920732652E-2</v>
      </c>
      <c r="I73" s="7">
        <f>'06 Returns'!I73-'05 Factors'!$B73</f>
        <v>8.069199599463639E-2</v>
      </c>
      <c r="J73" s="7">
        <f>'06 Returns'!J73-'05 Factors'!$B73</f>
        <v>-7.1113822399135884E-3</v>
      </c>
      <c r="K73" s="7">
        <f>'06 Returns'!K73-'05 Factors'!$B73</f>
        <v>-8.1430319929518546E-3</v>
      </c>
      <c r="L73" s="7">
        <f>'06 Returns'!L73-'05 Factors'!$B73</f>
        <v>2.3345476895855199E-2</v>
      </c>
    </row>
    <row r="74" spans="1:12" x14ac:dyDescent="0.3">
      <c r="A74" s="16">
        <f>'06 Returns'!A74</f>
        <v>44408</v>
      </c>
      <c r="B74" s="7">
        <f>'06 Returns'!B74-'05 Factors'!$B74</f>
        <v>0.13052275200643537</v>
      </c>
      <c r="C74" s="7">
        <f>'06 Returns'!C74-'05 Factors'!$B74</f>
        <v>-3.2722282718329554E-2</v>
      </c>
      <c r="D74" s="7">
        <f>'06 Returns'!D74-'05 Factors'!$B74</f>
        <v>-6.1238143797938571E-2</v>
      </c>
      <c r="E74" s="7">
        <f>'06 Returns'!E74-'05 Factors'!$B74</f>
        <v>-1.8550644973861496E-2</v>
      </c>
      <c r="F74" s="7">
        <f>'06 Returns'!F74-'05 Factors'!$B74</f>
        <v>-2.5172040764978254E-2</v>
      </c>
      <c r="G74" s="7">
        <f>'06 Returns'!G74-'05 Factors'!$B74</f>
        <v>0.10310834186991946</v>
      </c>
      <c r="H74" s="7">
        <f>'06 Returns'!H74-'05 Factors'!$B74</f>
        <v>7.9879101384426887E-2</v>
      </c>
      <c r="I74" s="7">
        <f>'06 Returns'!I74-'05 Factors'!$B74</f>
        <v>-8.7349530008478893E-2</v>
      </c>
      <c r="J74" s="7">
        <f>'06 Returns'!J74-'05 Factors'!$B74</f>
        <v>1.0849647891875591E-2</v>
      </c>
      <c r="K74" s="7">
        <f>'06 Returns'!K74-'05 Factors'!$B74</f>
        <v>6.7219268608522675E-3</v>
      </c>
      <c r="L74" s="7">
        <f>'06 Returns'!L74-'05 Factors'!$B74</f>
        <v>2.3754322593714461E-2</v>
      </c>
    </row>
    <row r="75" spans="1:12" x14ac:dyDescent="0.3">
      <c r="A75" s="16">
        <f>'06 Returns'!A75</f>
        <v>44439</v>
      </c>
      <c r="B75" s="7">
        <f>'06 Returns'!B75-'05 Factors'!$B75</f>
        <v>4.265937165334277E-2</v>
      </c>
      <c r="C75" s="7">
        <f>'06 Returns'!C75-'05 Factors'!$B75</f>
        <v>4.3034169499277963E-2</v>
      </c>
      <c r="D75" s="7">
        <f>'06 Returns'!D75-'05 Factors'!$B75</f>
        <v>-6.5949582949850316E-2</v>
      </c>
      <c r="E75" s="7">
        <f>'06 Returns'!E75-'05 Factors'!$B75</f>
        <v>5.3828014488267906E-2</v>
      </c>
      <c r="F75" s="7">
        <f>'06 Returns'!F75-'05 Factors'!$B75</f>
        <v>0.1482102231168847</v>
      </c>
      <c r="G75" s="7">
        <f>'06 Returns'!G75-'05 Factors'!$B75</f>
        <v>7.6150882351450067E-2</v>
      </c>
      <c r="H75" s="7">
        <f>'06 Returns'!H75-'05 Factors'!$B75</f>
        <v>-5.0650718296880393E-2</v>
      </c>
      <c r="I75" s="7">
        <f>'06 Returns'!I75-'05 Factors'!$B75</f>
        <v>-3.8644923753684335E-2</v>
      </c>
      <c r="J75" s="7">
        <f>'06 Returns'!J75-'05 Factors'!$B75</f>
        <v>4.2756943008712689E-2</v>
      </c>
      <c r="K75" s="7">
        <f>'06 Returns'!K75-'05 Factors'!$B75</f>
        <v>-1.3983385910200763E-2</v>
      </c>
      <c r="L75" s="7">
        <f>'06 Returns'!L75-'05 Factors'!$B75</f>
        <v>3.0405650811684781E-2</v>
      </c>
    </row>
    <row r="76" spans="1:12" x14ac:dyDescent="0.3">
      <c r="A76" s="16">
        <f>'06 Returns'!A76</f>
        <v>44469</v>
      </c>
      <c r="B76" s="7">
        <f>'06 Returns'!B76-'05 Factors'!$B76</f>
        <v>-7.0628609183187141E-2</v>
      </c>
      <c r="C76" s="7">
        <f>'06 Returns'!C76-'05 Factors'!$B76</f>
        <v>-5.351810876568075E-2</v>
      </c>
      <c r="D76" s="7">
        <f>'06 Returns'!D76-'05 Factors'!$B76</f>
        <v>8.6722947423617081E-2</v>
      </c>
      <c r="E76" s="7">
        <f>'06 Returns'!E76-'05 Factors'!$B76</f>
        <v>2.3382099371686227E-2</v>
      </c>
      <c r="F76" s="7">
        <f>'06 Returns'!F76-'05 Factors'!$B76</f>
        <v>-7.4558911124665506E-2</v>
      </c>
      <c r="G76" s="7">
        <f>'06 Returns'!G76-'05 Factors'!$B76</f>
        <v>-6.6420643903562726E-2</v>
      </c>
      <c r="H76" s="7">
        <f>'06 Returns'!H76-'05 Factors'!$B76</f>
        <v>-7.3730453240158145E-2</v>
      </c>
      <c r="I76" s="7">
        <f>'06 Returns'!I76-'05 Factors'!$B76</f>
        <v>7.8869967697813292E-2</v>
      </c>
      <c r="J76" s="7">
        <f>'06 Returns'!J76-'05 Factors'!$B76</f>
        <v>-5.8879146760805412E-2</v>
      </c>
      <c r="K76" s="7">
        <f>'06 Returns'!K76-'05 Factors'!$B76</f>
        <v>-1.8000083916809628E-2</v>
      </c>
      <c r="L76" s="7">
        <f>'06 Returns'!L76-'05 Factors'!$B76</f>
        <v>-4.6509384175115631E-2</v>
      </c>
    </row>
    <row r="77" spans="1:12" x14ac:dyDescent="0.3">
      <c r="A77" s="16">
        <f>'06 Returns'!A77</f>
        <v>44500</v>
      </c>
      <c r="B77" s="7">
        <f>'06 Returns'!B77-'05 Factors'!$B77</f>
        <v>0.16841595310007063</v>
      </c>
      <c r="C77" s="7">
        <f>'06 Returns'!C77-'05 Factors'!$B77</f>
        <v>2.6602457597083129E-2</v>
      </c>
      <c r="D77" s="7">
        <f>'06 Returns'!D77-'05 Factors'!$B77</f>
        <v>0.20621445603440258</v>
      </c>
      <c r="E77" s="7">
        <f>'06 Returns'!E77-'05 Factors'!$B77</f>
        <v>4.4130993463758816E-2</v>
      </c>
      <c r="F77" s="7">
        <f>'06 Returns'!F77-'05 Factors'!$B77</f>
        <v>0.23416685778283242</v>
      </c>
      <c r="G77" s="7">
        <f>'06 Returns'!G77-'05 Factors'!$B77</f>
        <v>1.6972824319012814E-2</v>
      </c>
      <c r="H77" s="7">
        <f>'06 Returns'!H77-'05 Factors'!$B77</f>
        <v>0.13485124468973742</v>
      </c>
      <c r="I77" s="7">
        <f>'06 Returns'!I77-'05 Factors'!$B77</f>
        <v>9.6055942430507413E-2</v>
      </c>
      <c r="J77" s="7">
        <f>'06 Returns'!J77-'05 Factors'!$B77</f>
        <v>7.2033085721793011E-2</v>
      </c>
      <c r="K77" s="7">
        <f>'06 Returns'!K77-'05 Factors'!$B77</f>
        <v>-7.2337084348017555E-3</v>
      </c>
      <c r="L77" s="7">
        <f>'06 Returns'!L77-'05 Factors'!$B77</f>
        <v>7.0061296061939116E-2</v>
      </c>
    </row>
    <row r="78" spans="1:12" x14ac:dyDescent="0.3">
      <c r="A78" s="16">
        <f>'06 Returns'!A78</f>
        <v>44530</v>
      </c>
      <c r="B78" s="7">
        <f>'06 Returns'!B78-'05 Factors'!$B78</f>
        <v>0.31722524074752445</v>
      </c>
      <c r="C78" s="7">
        <f>'06 Returns'!C78-'05 Factors'!$B78</f>
        <v>3.99237013071152E-2</v>
      </c>
      <c r="D78" s="7">
        <f>'06 Returns'!D78-'05 Factors'!$B78</f>
        <v>0.12919338620209886</v>
      </c>
      <c r="E78" s="7">
        <f>'06 Returns'!E78-'05 Factors'!$B78</f>
        <v>-6.5100918783219996E-2</v>
      </c>
      <c r="F78" s="7">
        <f>'06 Returns'!F78-'05 Factors'!$B78</f>
        <v>0.2780538553015488</v>
      </c>
      <c r="G78" s="7">
        <f>'06 Returns'!G78-'05 Factors'!$B78</f>
        <v>0.23917753172908141</v>
      </c>
      <c r="H78" s="7">
        <f>'06 Returns'!H78-'05 Factors'!$B78</f>
        <v>-5.757214022307966E-2</v>
      </c>
      <c r="I78" s="7">
        <f>'06 Returns'!I78-'05 Factors'!$B78</f>
        <v>-5.9342271359870136E-2</v>
      </c>
      <c r="J78" s="7">
        <f>'06 Returns'!J78-'05 Factors'!$B78</f>
        <v>-5.8827419024394256E-2</v>
      </c>
      <c r="K78" s="7">
        <f>'06 Returns'!K78-'05 Factors'!$B78</f>
        <v>-5.1330582699671945E-2</v>
      </c>
      <c r="L78" s="7">
        <f>'06 Returns'!L78-'05 Factors'!$B78</f>
        <v>-6.9287602911844992E-3</v>
      </c>
    </row>
    <row r="79" spans="1:12" x14ac:dyDescent="0.3">
      <c r="A79" s="16">
        <f>'06 Returns'!A79</f>
        <v>44561</v>
      </c>
      <c r="B79" s="7">
        <f>'06 Returns'!B79-'05 Factors'!$B79</f>
        <v>-9.146832523300831E-2</v>
      </c>
      <c r="C79" s="7">
        <f>'06 Returns'!C79-'05 Factors'!$B79</f>
        <v>-4.9351968788611381E-2</v>
      </c>
      <c r="D79" s="7">
        <f>'06 Returns'!D79-'05 Factors'!$B79</f>
        <v>8.2234655459786574E-2</v>
      </c>
      <c r="E79" s="7">
        <f>'06 Returns'!E79-'05 Factors'!$B79</f>
        <v>-3.1223826006579023E-3</v>
      </c>
      <c r="F79" s="7">
        <f>'06 Returns'!F79-'05 Factors'!$B79</f>
        <v>-9.991017216614341E-2</v>
      </c>
      <c r="G79" s="7">
        <f>'06 Returns'!G79-'05 Factors'!$B79</f>
        <v>9.8913390032482326E-2</v>
      </c>
      <c r="H79" s="7">
        <f>'06 Returns'!H79-'05 Factors'!$B79</f>
        <v>-5.0953001112346588E-2</v>
      </c>
      <c r="I79" s="7">
        <f>'06 Returns'!I79-'05 Factors'!$B79</f>
        <v>2.2460291934841992E-2</v>
      </c>
      <c r="J79" s="7">
        <f>'06 Returns'!J79-'05 Factors'!$B79</f>
        <v>3.2912720917191093E-2</v>
      </c>
      <c r="K79" s="7">
        <f>'06 Returns'!K79-'05 Factors'!$B79</f>
        <v>3.3518887321530841E-2</v>
      </c>
      <c r="L79" s="7">
        <f>'06 Returns'!L79-'05 Factors'!$B79</f>
        <v>4.4716418107445741E-2</v>
      </c>
    </row>
    <row r="80" spans="1:12" x14ac:dyDescent="0.3">
      <c r="A80" s="16">
        <f>'06 Returns'!A80</f>
        <v>44592</v>
      </c>
      <c r="B80" s="7">
        <f>'06 Returns'!B80-'05 Factors'!$B80</f>
        <v>-0.20604583150593303</v>
      </c>
      <c r="C80" s="7">
        <f>'06 Returns'!C80-'05 Factors'!$B80</f>
        <v>-0.10282991021655374</v>
      </c>
      <c r="D80" s="7">
        <f>'06 Returns'!D80-'05 Factors'!$B80</f>
        <v>-1.7603639142885541E-2</v>
      </c>
      <c r="E80" s="7">
        <f>'06 Returns'!E80-'05 Factors'!$B80</f>
        <v>-5.5947247118806498E-2</v>
      </c>
      <c r="F80" s="7">
        <f>'06 Returns'!F80-'05 Factors'!$B80</f>
        <v>-0.16745448038441502</v>
      </c>
      <c r="G80" s="7">
        <f>'06 Returns'!G80-'05 Factors'!$B80</f>
        <v>-0.1009209102518982</v>
      </c>
      <c r="H80" s="7">
        <f>'06 Returns'!H80-'05 Factors'!$B80</f>
        <v>-4.7571846166882037E-2</v>
      </c>
      <c r="I80" s="7">
        <f>'06 Returns'!I80-'05 Factors'!$B80</f>
        <v>0.24137903736665112</v>
      </c>
      <c r="J80" s="7">
        <f>'06 Returns'!J80-'05 Factors'!$B80</f>
        <v>-3.3727342568527052E-2</v>
      </c>
      <c r="K80" s="7">
        <f>'06 Returns'!K80-'05 Factors'!$B80</f>
        <v>3.678431727191489E-2</v>
      </c>
      <c r="L80" s="7">
        <f>'06 Returns'!L80-'05 Factors'!$B80</f>
        <v>-5.1746849642356652E-2</v>
      </c>
    </row>
    <row r="81" spans="1:12" x14ac:dyDescent="0.3">
      <c r="A81" s="16">
        <f>'06 Returns'!A81</f>
        <v>44620</v>
      </c>
      <c r="B81" s="7">
        <f>'06 Returns'!B81-'05 Factors'!$B81</f>
        <v>7.9562331185995649E-2</v>
      </c>
      <c r="C81" s="7">
        <f>'06 Returns'!C81-'05 Factors'!$B81</f>
        <v>2.6672518264737599E-2</v>
      </c>
      <c r="D81" s="7">
        <f>'06 Returns'!D81-'05 Factors'!$B81</f>
        <v>-0.13497537877004839</v>
      </c>
      <c r="E81" s="7">
        <f>'06 Returns'!E81-'05 Factors'!$B81</f>
        <v>-4.5760333508201856E-2</v>
      </c>
      <c r="F81" s="7">
        <f>'06 Returns'!F81-'05 Factors'!$B81</f>
        <v>-4.1247023478687694E-3</v>
      </c>
      <c r="G81" s="7">
        <f>'06 Returns'!G81-'05 Factors'!$B81</f>
        <v>-0.10912901858513457</v>
      </c>
      <c r="H81" s="7">
        <f>'06 Returns'!H81-'05 Factors'!$B81</f>
        <v>-8.9798164072902753E-2</v>
      </c>
      <c r="I81" s="7">
        <f>'06 Returns'!I81-'05 Factors'!$B81</f>
        <v>4.3830709873820206E-2</v>
      </c>
      <c r="J81" s="7">
        <f>'06 Returns'!J81-'05 Factors'!$B81</f>
        <v>-3.3259340756021438E-2</v>
      </c>
      <c r="K81" s="7">
        <f>'06 Returns'!K81-'05 Factors'!$B81</f>
        <v>8.2659900292509914E-3</v>
      </c>
      <c r="L81" s="7">
        <f>'06 Returns'!L81-'05 Factors'!$B81</f>
        <v>-2.9942154424650091E-2</v>
      </c>
    </row>
    <row r="82" spans="1:12" x14ac:dyDescent="0.3">
      <c r="A82" s="16">
        <f>'06 Returns'!A82</f>
        <v>44651</v>
      </c>
      <c r="B82" s="7">
        <f>'06 Returns'!B82-'05 Factors'!$B82</f>
        <v>-0.11350738134963545</v>
      </c>
      <c r="C82" s="7">
        <f>'06 Returns'!C82-'05 Factors'!$B82</f>
        <v>6.1437285032931221E-2</v>
      </c>
      <c r="D82" s="7">
        <f>'06 Returns'!D82-'05 Factors'!$B82</f>
        <v>-3.7015994296468513E-2</v>
      </c>
      <c r="E82" s="7">
        <f>'06 Returns'!E82-'05 Factors'!$B82</f>
        <v>-3.8646067895859448E-2</v>
      </c>
      <c r="F82" s="7">
        <f>'06 Returns'!F82-'05 Factors'!$B82</f>
        <v>0.11915721732833684</v>
      </c>
      <c r="G82" s="7">
        <f>'06 Returns'!G82-'05 Factors'!$B82</f>
        <v>0.10289755537424572</v>
      </c>
      <c r="H82" s="7">
        <f>'06 Returns'!H82-'05 Factors'!$B82</f>
        <v>6.2321639983557775E-2</v>
      </c>
      <c r="I82" s="7">
        <f>'06 Returns'!I82-'05 Factors'!$B82</f>
        <v>5.3174794695969307E-2</v>
      </c>
      <c r="J82" s="7">
        <f>'06 Returns'!J82-'05 Factors'!$B82</f>
        <v>0.10606671884400476</v>
      </c>
      <c r="K82" s="7">
        <f>'06 Returns'!K82-'05 Factors'!$B82</f>
        <v>-5.0866270421690674E-2</v>
      </c>
      <c r="L82" s="7">
        <f>'06 Returns'!L82-'05 Factors'!$B82</f>
        <v>3.7129991432822251E-2</v>
      </c>
    </row>
    <row r="83" spans="1:12" x14ac:dyDescent="0.3">
      <c r="A83" s="16">
        <f>'06 Returns'!A83</f>
        <v>44681</v>
      </c>
      <c r="B83" s="7">
        <f>'06 Returns'!B83-'05 Factors'!$B83</f>
        <v>-0.21785257447115536</v>
      </c>
      <c r="C83" s="7">
        <f>'06 Returns'!C83-'05 Factors'!$B83</f>
        <v>-0.23752509313823067</v>
      </c>
      <c r="D83" s="7">
        <f>'06 Returns'!D83-'05 Factors'!$B83</f>
        <v>-0.1570543222982218</v>
      </c>
      <c r="E83" s="7">
        <f>'06 Returns'!E83-'05 Factors'!$B83</f>
        <v>-0.11792307063810337</v>
      </c>
      <c r="F83" s="7">
        <f>'06 Returns'!F83-'05 Factors'!$B83</f>
        <v>-0.32027402796672721</v>
      </c>
      <c r="G83" s="7">
        <f>'06 Returns'!G83-'05 Factors'!$B83</f>
        <v>-5.2153766232824417E-2</v>
      </c>
      <c r="H83" s="7">
        <f>'06 Returns'!H83-'05 Factors'!$B83</f>
        <v>7.7419386573613691E-2</v>
      </c>
      <c r="I83" s="7">
        <f>'06 Returns'!I83-'05 Factors'!$B83</f>
        <v>3.2207461345419297E-2</v>
      </c>
      <c r="J83" s="7">
        <f>'06 Returns'!J83-'05 Factors'!$B83</f>
        <v>2.7330103510219139E-2</v>
      </c>
      <c r="K83" s="7">
        <f>'06 Returns'!K83-'05 Factors'!$B83</f>
        <v>-8.0020271096879592E-2</v>
      </c>
      <c r="L83" s="7">
        <f>'06 Returns'!L83-'05 Factors'!$B83</f>
        <v>-8.7201580875290285E-2</v>
      </c>
    </row>
    <row r="84" spans="1:12" x14ac:dyDescent="0.3">
      <c r="A84" s="16">
        <f>'06 Returns'!A84</f>
        <v>44712</v>
      </c>
      <c r="B84" s="7">
        <f>'06 Returns'!B84-'05 Factors'!$B84</f>
        <v>0.190766471097884</v>
      </c>
      <c r="C84" s="7">
        <f>'06 Returns'!C84-'05 Factors'!$B84</f>
        <v>-3.3064317601631456E-2</v>
      </c>
      <c r="D84" s="7">
        <f>'06 Returns'!D84-'05 Factors'!$B84</f>
        <v>-3.4198168852170009E-2</v>
      </c>
      <c r="E84" s="7">
        <f>'06 Returns'!E84-'05 Factors'!$B84</f>
        <v>0.10752471567337382</v>
      </c>
      <c r="F84" s="7">
        <f>'06 Returns'!F84-'05 Factors'!$B84</f>
        <v>6.4395595521506647E-3</v>
      </c>
      <c r="G84" s="7">
        <f>'06 Returns'!G84-'05 Factors'!$B84</f>
        <v>8.9419393157576826E-2</v>
      </c>
      <c r="H84" s="7">
        <f>'06 Returns'!H84-'05 Factors'!$B84</f>
        <v>-0.28940018362887981</v>
      </c>
      <c r="I84" s="7">
        <f>'06 Returns'!I84-'05 Factors'!$B84</f>
        <v>0.13733461473086736</v>
      </c>
      <c r="J84" s="7">
        <f>'06 Returns'!J84-'05 Factors'!$B84</f>
        <v>-0.15646987586560759</v>
      </c>
      <c r="K84" s="7">
        <f>'06 Returns'!K84-'05 Factors'!$B84</f>
        <v>0.10747554687268576</v>
      </c>
      <c r="L84" s="7">
        <f>'06 Returns'!L84-'05 Factors'!$B84</f>
        <v>1.5339496292967273E-3</v>
      </c>
    </row>
    <row r="85" spans="1:12" x14ac:dyDescent="0.3">
      <c r="A85" s="16">
        <f>'06 Returns'!A85</f>
        <v>44742</v>
      </c>
      <c r="B85" s="7">
        <f>'06 Returns'!B85-'05 Factors'!$B85</f>
        <v>-0.24986368777978746</v>
      </c>
      <c r="C85" s="7">
        <f>'06 Returns'!C85-'05 Factors'!$B85</f>
        <v>-0.11705921262760817</v>
      </c>
      <c r="D85" s="7">
        <f>'06 Returns'!D85-'05 Factors'!$B85</f>
        <v>-0.1870037324275084</v>
      </c>
      <c r="E85" s="7">
        <f>'06 Returns'!E85-'05 Factors'!$B85</f>
        <v>-0.14897765064752883</v>
      </c>
      <c r="F85" s="7">
        <f>'06 Returns'!F85-'05 Factors'!$B85</f>
        <v>-0.18857107236213827</v>
      </c>
      <c r="G85" s="7">
        <f>'06 Returns'!G85-'05 Factors'!$B85</f>
        <v>-1.2100697029887874E-2</v>
      </c>
      <c r="H85" s="7">
        <f>'06 Returns'!H85-'05 Factors'!$B85</f>
        <v>-0.12816357205260992</v>
      </c>
      <c r="I85" s="7">
        <f>'06 Returns'!I85-'05 Factors'!$B85</f>
        <v>-0.10851683270379582</v>
      </c>
      <c r="J85" s="7">
        <f>'06 Returns'!J85-'05 Factors'!$B85</f>
        <v>-5.540841846271323E-2</v>
      </c>
      <c r="K85" s="7">
        <f>'06 Returns'!K85-'05 Factors'!$B85</f>
        <v>-1.1128378657306159E-2</v>
      </c>
      <c r="L85" s="7">
        <f>'06 Returns'!L85-'05 Factors'!$B85</f>
        <v>-8.3143611073983117E-2</v>
      </c>
    </row>
    <row r="86" spans="1:12" x14ac:dyDescent="0.3">
      <c r="A86" s="16">
        <f>'06 Returns'!A86</f>
        <v>44773</v>
      </c>
      <c r="B86" s="7">
        <f>'06 Returns'!B86-'05 Factors'!$B86</f>
        <v>0.23458642229192886</v>
      </c>
      <c r="C86" s="7">
        <f>'06 Returns'!C86-'05 Factors'!$B86</f>
        <v>0.26979597130087474</v>
      </c>
      <c r="D86" s="7">
        <f>'06 Returns'!D86-'05 Factors'!$B86</f>
        <v>0.31905629434944516</v>
      </c>
      <c r="E86" s="7">
        <f>'06 Returns'!E86-'05 Factors'!$B86</f>
        <v>3.2682259517731314E-2</v>
      </c>
      <c r="F86" s="7">
        <f>'06 Returns'!F86-'05 Factors'!$B86</f>
        <v>0.19736593026043306</v>
      </c>
      <c r="G86" s="7">
        <f>'06 Returns'!G86-'05 Factors'!$B86</f>
        <v>-2.9944719611859381E-2</v>
      </c>
      <c r="H86" s="7">
        <f>'06 Returns'!H86-'05 Factors'!$B86</f>
        <v>0.15603650636519509</v>
      </c>
      <c r="I86" s="7">
        <f>'06 Returns'!I86-'05 Factors'!$B86</f>
        <v>0.13103101555237431</v>
      </c>
      <c r="J86" s="7">
        <f>'06 Returns'!J86-'05 Factors'!$B86</f>
        <v>8.5316082105395902E-2</v>
      </c>
      <c r="K86" s="7">
        <f>'06 Returns'!K86-'05 Factors'!$B86</f>
        <v>-7.9201611521260346E-2</v>
      </c>
      <c r="L86" s="7">
        <f>'06 Returns'!L86-'05 Factors'!$B86</f>
        <v>9.1404444018687997E-2</v>
      </c>
    </row>
    <row r="87" spans="1:12" x14ac:dyDescent="0.3">
      <c r="A87" s="16">
        <f>'06 Returns'!A87</f>
        <v>44804</v>
      </c>
      <c r="B87" s="7">
        <f>'06 Returns'!B87-'05 Factors'!$B87</f>
        <v>-0.10351954430033904</v>
      </c>
      <c r="C87" s="7">
        <f>'06 Returns'!C87-'05 Factors'!$B87</f>
        <v>-6.2515046239326674E-2</v>
      </c>
      <c r="D87" s="7">
        <f>'06 Returns'!D87-'05 Factors'!$B87</f>
        <v>4.5887417714973081E-2</v>
      </c>
      <c r="E87" s="7">
        <f>'06 Returns'!E87-'05 Factors'!$B87</f>
        <v>-1.6029670077877242E-2</v>
      </c>
      <c r="F87" s="7">
        <f>'06 Returns'!F87-'05 Factors'!$B87</f>
        <v>-0.17086987917737817</v>
      </c>
      <c r="G87" s="7">
        <f>'06 Returns'!G87-'05 Factors'!$B87</f>
        <v>-0.10643378866701635</v>
      </c>
      <c r="H87" s="7">
        <f>'06 Returns'!H87-'05 Factors'!$B87</f>
        <v>-1.4355692184559442E-2</v>
      </c>
      <c r="I87" s="7">
        <f>'06 Returns'!I87-'05 Factors'!$B87</f>
        <v>-6.1424663036866315E-3</v>
      </c>
      <c r="J87" s="7">
        <f>'06 Returns'!J87-'05 Factors'!$B87</f>
        <v>6.2582577231968936E-3</v>
      </c>
      <c r="K87" s="7">
        <f>'06 Returns'!K87-'05 Factors'!$B87</f>
        <v>-9.6725636787463584E-2</v>
      </c>
      <c r="L87" s="7">
        <f>'06 Returns'!L87-'05 Factors'!$B87</f>
        <v>-4.2681360965277734E-2</v>
      </c>
    </row>
    <row r="88" spans="1:12" x14ac:dyDescent="0.3">
      <c r="A88" s="16">
        <f>'06 Returns'!A88</f>
        <v>44834</v>
      </c>
      <c r="B88" s="7">
        <f>'06 Returns'!B88-'05 Factors'!$B88</f>
        <v>-0.25534646447606857</v>
      </c>
      <c r="C88" s="7">
        <f>'06 Returns'!C88-'05 Factors'!$B88</f>
        <v>-0.11052189009737066</v>
      </c>
      <c r="D88" s="7">
        <f>'06 Returns'!D88-'05 Factors'!$B88</f>
        <v>-0.26699183865770881</v>
      </c>
      <c r="E88" s="7">
        <f>'06 Returns'!E88-'05 Factors'!$B88</f>
        <v>-8.3057069704550276E-2</v>
      </c>
      <c r="F88" s="7">
        <f>'06 Returns'!F88-'05 Factors'!$B88</f>
        <v>-0.19743417868898261</v>
      </c>
      <c r="G88" s="7">
        <f>'06 Returns'!G88-'05 Factors'!$B88</f>
        <v>-3.4400595617506177E-2</v>
      </c>
      <c r="H88" s="7">
        <f>'06 Returns'!H88-'05 Factors'!$B88</f>
        <v>-7.642916898538786E-2</v>
      </c>
      <c r="I88" s="7">
        <f>'06 Returns'!I88-'05 Factors'!$B88</f>
        <v>-8.8519788729554336E-2</v>
      </c>
      <c r="J88" s="7">
        <f>'06 Returns'!J88-'05 Factors'!$B88</f>
        <v>-2.3401354074038525E-2</v>
      </c>
      <c r="K88" s="7">
        <f>'06 Returns'!K88-'05 Factors'!$B88</f>
        <v>-9.3744207693883794E-2</v>
      </c>
      <c r="L88" s="7">
        <f>'06 Returns'!L88-'05 Factors'!$B88</f>
        <v>-9.399948776808574E-2</v>
      </c>
    </row>
    <row r="89" spans="1:12" x14ac:dyDescent="0.3">
      <c r="A89" s="16">
        <f>'06 Returns'!A89</f>
        <v>44865</v>
      </c>
      <c r="B89" s="7">
        <f>'06 Returns'!B89-'05 Factors'!$B89</f>
        <v>-5.4383320790851425E-2</v>
      </c>
      <c r="C89" s="7">
        <f>'06 Returns'!C89-'05 Factors'!$B89</f>
        <v>-9.5751305831858341E-2</v>
      </c>
      <c r="D89" s="7">
        <f>'06 Returns'!D89-'05 Factors'!$B89</f>
        <v>0.19145001836505735</v>
      </c>
      <c r="E89" s="7">
        <f>'06 Returns'!E89-'05 Factors'!$B89</f>
        <v>0.21307046177515263</v>
      </c>
      <c r="F89" s="7">
        <f>'06 Returns'!F89-'05 Factors'!$B89</f>
        <v>0.10957106082465781</v>
      </c>
      <c r="G89" s="7">
        <f>'06 Returns'!G89-'05 Factors'!$B89</f>
        <v>6.1456693392387213E-2</v>
      </c>
      <c r="H89" s="7">
        <f>'06 Returns'!H89-'05 Factors'!$B89</f>
        <v>0.1045805297663169</v>
      </c>
      <c r="I89" s="7">
        <f>'06 Returns'!I89-'05 Factors'!$B89</f>
        <v>0.2668558875603983</v>
      </c>
      <c r="J89" s="7">
        <f>'06 Returns'!J89-'05 Factors'!$B89</f>
        <v>9.5078593984243981E-2</v>
      </c>
      <c r="K89" s="7">
        <f>'06 Returns'!K89-'05 Factors'!$B89</f>
        <v>-1.5154436943352369E-3</v>
      </c>
      <c r="L89" s="7">
        <f>'06 Returns'!L89-'05 Factors'!$B89</f>
        <v>7.8661293297370899E-2</v>
      </c>
    </row>
    <row r="90" spans="1:12" x14ac:dyDescent="0.3">
      <c r="A90" s="16">
        <f>'06 Returns'!A90</f>
        <v>44895</v>
      </c>
      <c r="B90" s="7">
        <f>'06 Returns'!B90-'05 Factors'!$B90</f>
        <v>0.28964071725530871</v>
      </c>
      <c r="C90" s="7">
        <f>'06 Returns'!C90-'05 Factors'!$B90</f>
        <v>-6.0494703093628796E-2</v>
      </c>
      <c r="D90" s="7">
        <f>'06 Returns'!D90-'05 Factors'!$B90</f>
        <v>4.7608005458364425E-2</v>
      </c>
      <c r="E90" s="7">
        <f>'06 Returns'!E90-'05 Factors'!$B90</f>
        <v>9.4812082508516485E-2</v>
      </c>
      <c r="F90" s="7">
        <f>'06 Returns'!F90-'05 Factors'!$B90</f>
        <v>0.25125462806718291</v>
      </c>
      <c r="G90" s="7">
        <f>'06 Returns'!G90-'05 Factors'!$B90</f>
        <v>8.3236544615587729E-2</v>
      </c>
      <c r="H90" s="7">
        <f>'06 Returns'!H90-'05 Factors'!$B90</f>
        <v>2.0649272829057611E-2</v>
      </c>
      <c r="I90" s="7">
        <f>'06 Returns'!I90-'05 Factors'!$B90</f>
        <v>9.9715994612393916E-3</v>
      </c>
      <c r="J90" s="7">
        <f>'06 Returns'!J90-'05 Factors'!$B90</f>
        <v>6.7991704171972769E-2</v>
      </c>
      <c r="K90" s="7">
        <f>'06 Returns'!K90-'05 Factors'!$B90</f>
        <v>4.0182853276910083E-2</v>
      </c>
      <c r="L90" s="7">
        <f>'06 Returns'!L90-'05 Factors'!$B90</f>
        <v>5.2984725537512337E-2</v>
      </c>
    </row>
    <row r="91" spans="1:12" x14ac:dyDescent="0.3">
      <c r="A91" s="16">
        <f>'06 Returns'!A91</f>
        <v>44926</v>
      </c>
      <c r="B91" s="7">
        <f>'06 Returns'!B91-'05 Factors'!$B91</f>
        <v>-0.16895762031811448</v>
      </c>
      <c r="C91" s="7">
        <f>'06 Returns'!C91-'05 Factors'!$B91</f>
        <v>-0.13319435256455062</v>
      </c>
      <c r="D91" s="7">
        <f>'06 Returns'!D91-'05 Factors'!$B91</f>
        <v>-0.16660923700723221</v>
      </c>
      <c r="E91" s="7">
        <f>'06 Returns'!E91-'05 Factors'!$B91</f>
        <v>-3.2826631154605629E-2</v>
      </c>
      <c r="F91" s="7">
        <f>'06 Returns'!F91-'05 Factors'!$B91</f>
        <v>-0.13974148977709747</v>
      </c>
      <c r="G91" s="7">
        <f>'06 Returns'!G91-'05 Factors'!$B91</f>
        <v>1.8842504936799811E-2</v>
      </c>
      <c r="H91" s="7">
        <f>'06 Returns'!H91-'05 Factors'!$B91</f>
        <v>-0.11121923217427179</v>
      </c>
      <c r="I91" s="7">
        <f>'06 Returns'!I91-'05 Factors'!$B91</f>
        <v>-1.2640773239085554E-2</v>
      </c>
      <c r="J91" s="7">
        <f>'06 Returns'!J91-'05 Factors'!$B91</f>
        <v>-6.9534635294616925E-2</v>
      </c>
      <c r="K91" s="7">
        <f>'06 Returns'!K91-'05 Factors'!$B91</f>
        <v>7.4748181135738364E-3</v>
      </c>
      <c r="L91" s="7">
        <f>'06 Returns'!L91-'05 Factors'!$B91</f>
        <v>-6.0914655504724552E-2</v>
      </c>
    </row>
    <row r="92" spans="1:12" x14ac:dyDescent="0.3">
      <c r="A92" s="16">
        <f>'06 Returns'!A92</f>
        <v>44957</v>
      </c>
      <c r="B92" s="7">
        <f>'06 Returns'!B92-'05 Factors'!$B92</f>
        <v>0.15675946303496963</v>
      </c>
      <c r="C92" s="7">
        <f>'06 Returns'!C92-'05 Factors'!$B92</f>
        <v>0.22423806253571438</v>
      </c>
      <c r="D92" s="7">
        <f>'06 Returns'!D92-'05 Factors'!$B92</f>
        <v>0.15815097788345805</v>
      </c>
      <c r="E92" s="7">
        <f>'06 Returns'!E92-'05 Factors'!$B92</f>
        <v>4.7908231774718202E-2</v>
      </c>
      <c r="F92" s="7">
        <f>'06 Returns'!F92-'05 Factors'!$B92</f>
        <v>0.33336911229001315</v>
      </c>
      <c r="G92" s="7">
        <f>'06 Returns'!G92-'05 Factors'!$B92</f>
        <v>-0.13376152213296538</v>
      </c>
      <c r="H92" s="7">
        <f>'06 Returns'!H92-'05 Factors'!$B92</f>
        <v>0.15149224252815668</v>
      </c>
      <c r="I92" s="7">
        <f>'06 Returns'!I92-'05 Factors'!$B92</f>
        <v>4.8268068972238398E-2</v>
      </c>
      <c r="J92" s="7">
        <f>'06 Returns'!J92-'05 Factors'!$B92</f>
        <v>1.1169483144415186E-2</v>
      </c>
      <c r="K92" s="7">
        <f>'06 Returns'!K92-'05 Factors'!$B92</f>
        <v>6.8162685303642834E-2</v>
      </c>
      <c r="L92" s="7">
        <f>'06 Returns'!L92-'05 Factors'!$B92</f>
        <v>5.9334263312250057E-2</v>
      </c>
    </row>
    <row r="93" spans="1:12" x14ac:dyDescent="0.3">
      <c r="A93" s="16">
        <f>'06 Returns'!A93</f>
        <v>44985</v>
      </c>
      <c r="B93" s="7">
        <f>'06 Returns'!B93-'05 Factors'!$B93</f>
        <v>4.2242052369325503E-2</v>
      </c>
      <c r="C93" s="7">
        <f>'06 Returns'!C93-'05 Factors'!$B93</f>
        <v>-8.9698789228767326E-2</v>
      </c>
      <c r="D93" s="7">
        <f>'06 Returns'!D93-'05 Factors'!$B93</f>
        <v>-5.3665574720563811E-2</v>
      </c>
      <c r="E93" s="7">
        <f>'06 Returns'!E93-'05 Factors'!$B93</f>
        <v>2.0821242687235467E-2</v>
      </c>
      <c r="F93" s="7">
        <f>'06 Returns'!F93-'05 Factors'!$B93</f>
        <v>0.18490912370175758</v>
      </c>
      <c r="G93" s="7">
        <f>'06 Returns'!G93-'05 Factors'!$B93</f>
        <v>-8.4694818434394678E-2</v>
      </c>
      <c r="H93" s="7">
        <f>'06 Returns'!H93-'05 Factors'!$B93</f>
        <v>-1.8407730411927822E-2</v>
      </c>
      <c r="I93" s="7">
        <f>'06 Returns'!I93-'05 Factors'!$B93</f>
        <v>-4.8691601918162283E-2</v>
      </c>
      <c r="J93" s="7">
        <f>'06 Returns'!J93-'05 Factors'!$B93</f>
        <v>-1.549418039861121E-2</v>
      </c>
      <c r="K93" s="7">
        <f>'06 Returns'!K93-'05 Factors'!$B93</f>
        <v>-6.9793938807955078E-2</v>
      </c>
      <c r="L93" s="7">
        <f>'06 Returns'!L93-'05 Factors'!$B93</f>
        <v>-2.7799793943245096E-2</v>
      </c>
    </row>
    <row r="94" spans="1:12" x14ac:dyDescent="0.3">
      <c r="A94" s="16">
        <f>'06 Returns'!A94</f>
        <v>45016</v>
      </c>
      <c r="B94" s="7">
        <f>'06 Returns'!B94-'05 Factors'!$B94</f>
        <v>0.24366393296430405</v>
      </c>
      <c r="C94" s="7">
        <f>'06 Returns'!C94-'05 Factors'!$B94</f>
        <v>9.2547694326029981E-2</v>
      </c>
      <c r="D94" s="7">
        <f>'06 Returns'!D94-'05 Factors'!$B94</f>
        <v>4.0310754577673795E-2</v>
      </c>
      <c r="E94" s="7">
        <f>'06 Returns'!E94-'05 Factors'!$B94</f>
        <v>-9.4566233137520508E-2</v>
      </c>
      <c r="F94" s="7">
        <f>'06 Returns'!F94-'05 Factors'!$B94</f>
        <v>0.19306260280461679</v>
      </c>
      <c r="G94" s="7">
        <f>'06 Returns'!G94-'05 Factors'!$B94</f>
        <v>2.0688623531637728E-3</v>
      </c>
      <c r="H94" s="7">
        <f>'06 Returns'!H94-'05 Factors'!$B94</f>
        <v>-2.0632847256581273E-2</v>
      </c>
      <c r="I94" s="7">
        <f>'06 Returns'!I94-'05 Factors'!$B94</f>
        <v>-5.8743616300260338E-3</v>
      </c>
      <c r="J94" s="7">
        <f>'06 Returns'!J94-'05 Factors'!$B94</f>
        <v>3.8082485605906373E-2</v>
      </c>
      <c r="K94" s="7">
        <f>'06 Returns'!K94-'05 Factors'!$B94</f>
        <v>-1.5385877392941139E-3</v>
      </c>
      <c r="L94" s="7">
        <f>'06 Returns'!L94-'05 Factors'!$B94</f>
        <v>3.3114319357847415E-2</v>
      </c>
    </row>
    <row r="95" spans="1:12" x14ac:dyDescent="0.3">
      <c r="A95" s="16">
        <f>'06 Returns'!A95</f>
        <v>45046</v>
      </c>
      <c r="B95" s="7">
        <f>'06 Returns'!B95-'05 Factors'!$B95</f>
        <v>-9.1654261823129024E-2</v>
      </c>
      <c r="C95" s="7">
        <f>'06 Returns'!C95-'05 Factors'!$B95</f>
        <v>1.7411956751327843E-2</v>
      </c>
      <c r="D95" s="7">
        <f>'06 Returns'!D95-'05 Factors'!$B95</f>
        <v>-4.8867093815859242E-2</v>
      </c>
      <c r="E95" s="7">
        <f>'06 Returns'!E95-'05 Factors'!$B95</f>
        <v>6.5680774939586517E-2</v>
      </c>
      <c r="F95" s="7">
        <f>'06 Returns'!F95-'05 Factors'!$B95</f>
        <v>-4.5079158455326139E-3</v>
      </c>
      <c r="G95" s="7">
        <f>'06 Returns'!G95-'05 Factors'!$B95</f>
        <v>-5.031375304370439E-2</v>
      </c>
      <c r="H95" s="7">
        <f>'06 Returns'!H95-'05 Factors'!$B95</f>
        <v>-5.1075812185260083E-2</v>
      </c>
      <c r="I95" s="7">
        <f>'06 Returns'!I95-'05 Factors'!$B95</f>
        <v>7.5653618841242054E-2</v>
      </c>
      <c r="J95" s="7">
        <f>'06 Returns'!J95-'05 Factors'!$B95</f>
        <v>2.0372515317179044E-2</v>
      </c>
      <c r="K95" s="7">
        <f>'06 Returns'!K95-'05 Factors'!$B95</f>
        <v>1.1481350349224876E-2</v>
      </c>
      <c r="L95" s="7">
        <f>'06 Returns'!L95-'05 Factors'!$B95</f>
        <v>1.2108884000032353E-2</v>
      </c>
    </row>
    <row r="96" spans="1:12" x14ac:dyDescent="0.3">
      <c r="A96" s="16">
        <f>'06 Returns'!A96</f>
        <v>45077</v>
      </c>
      <c r="B96" s="7">
        <f>'06 Returns'!B96-'05 Factors'!$B96</f>
        <v>0.31910331712054468</v>
      </c>
      <c r="C96" s="7">
        <f>'06 Returns'!C96-'05 Factors'!$B96</f>
        <v>0.13988037288669602</v>
      </c>
      <c r="D96" s="7">
        <f>'06 Returns'!D96-'05 Factors'!$B96</f>
        <v>6.5010427675691795E-3</v>
      </c>
      <c r="E96" s="7">
        <f>'06 Returns'!E96-'05 Factors'!$B96</f>
        <v>-2.1901653474746215E-2</v>
      </c>
      <c r="F96" s="7">
        <f>'06 Returns'!F96-'05 Factors'!$B96</f>
        <v>0.35983624075183168</v>
      </c>
      <c r="G96" s="7">
        <f>'06 Returns'!G96-'05 Factors'!$B96</f>
        <v>-1.5392183848864045E-2</v>
      </c>
      <c r="H96" s="7">
        <f>'06 Returns'!H96-'05 Factors'!$B96</f>
        <v>-0.16799562263750761</v>
      </c>
      <c r="I96" s="7">
        <f>'06 Returns'!I96-'05 Factors'!$B96</f>
        <v>-0.13266323682211217</v>
      </c>
      <c r="J96" s="7">
        <f>'06 Returns'!J96-'05 Factors'!$B96</f>
        <v>-2.7062011628258227E-2</v>
      </c>
      <c r="K96" s="7">
        <f>'06 Returns'!K96-'05 Factors'!$B96</f>
        <v>-8.6010716256583256E-2</v>
      </c>
      <c r="L96" s="7">
        <f>'06 Returns'!L96-'05 Factors'!$B96</f>
        <v>7.4688924246717799E-4</v>
      </c>
    </row>
    <row r="97" spans="1:12" x14ac:dyDescent="0.3">
      <c r="A97" s="16">
        <f>'06 Returns'!A97</f>
        <v>45107</v>
      </c>
      <c r="B97" s="7">
        <f>'06 Returns'!B97-'05 Factors'!$B97</f>
        <v>-4.0375902675918618E-2</v>
      </c>
      <c r="C97" s="7">
        <f>'06 Returns'!C97-'05 Factors'!$B97</f>
        <v>7.7107966748144685E-2</v>
      </c>
      <c r="D97" s="7">
        <f>'06 Returns'!D97-'05 Factors'!$B97</f>
        <v>0.25683335993545864</v>
      </c>
      <c r="E97" s="7">
        <f>'06 Returns'!E97-'05 Factors'!$B97</f>
        <v>6.7697188646167916E-2</v>
      </c>
      <c r="F97" s="7">
        <f>'06 Returns'!F97-'05 Factors'!$B97</f>
        <v>0.11421058535266781</v>
      </c>
      <c r="G97" s="7">
        <f>'06 Returns'!G97-'05 Factors'!$B97</f>
        <v>-3.9244471826190841E-2</v>
      </c>
      <c r="H97" s="7">
        <f>'06 Returns'!H97-'05 Factors'!$B97</f>
        <v>3.4086279859710834E-3</v>
      </c>
      <c r="I97" s="7">
        <f>'06 Returns'!I97-'05 Factors'!$B97</f>
        <v>4.5618332976043341E-2</v>
      </c>
      <c r="J97" s="7">
        <f>'06 Returns'!J97-'05 Factors'!$B97</f>
        <v>6.6197952197739163E-2</v>
      </c>
      <c r="K97" s="7">
        <f>'06 Returns'!K97-'05 Factors'!$B97</f>
        <v>3.9783290518698777E-2</v>
      </c>
      <c r="L97" s="7">
        <f>'06 Returns'!L97-'05 Factors'!$B97</f>
        <v>6.2075519485065511E-2</v>
      </c>
    </row>
    <row r="98" spans="1:12" x14ac:dyDescent="0.3">
      <c r="A98" s="16">
        <f>'06 Returns'!A98</f>
        <v>45138</v>
      </c>
      <c r="B98" s="7">
        <f>'06 Returns'!B98-'05 Factors'!$B98</f>
        <v>-1.9837724302123726E-4</v>
      </c>
      <c r="C98" s="7">
        <f>'06 Returns'!C98-'05 Factors'!$B98</f>
        <v>2.0967873967970344E-2</v>
      </c>
      <c r="D98" s="7">
        <f>'06 Returns'!D98-'05 Factors'!$B98</f>
        <v>-0.12189616886404381</v>
      </c>
      <c r="E98" s="7">
        <f>'06 Returns'!E98-'05 Factors'!$B98</f>
        <v>8.9042405737273567E-2</v>
      </c>
      <c r="F98" s="7">
        <f>'06 Returns'!F98-'05 Factors'!$B98</f>
        <v>0.10015221879332853</v>
      </c>
      <c r="G98" s="7">
        <f>'06 Returns'!G98-'05 Factors'!$B98</f>
        <v>-1.0449978705907744E-2</v>
      </c>
      <c r="H98" s="7">
        <f>'06 Returns'!H98-'05 Factors'!$B98</f>
        <v>3.014729436116043E-2</v>
      </c>
      <c r="I98" s="7">
        <f>'06 Returns'!I98-'05 Factors'!$B98</f>
        <v>-4.5932360559202646E-3</v>
      </c>
      <c r="J98" s="7">
        <f>'06 Returns'!J98-'05 Factors'!$B98</f>
        <v>1.2550578274569572E-2</v>
      </c>
      <c r="K98" s="7">
        <f>'06 Returns'!K98-'05 Factors'!$B98</f>
        <v>-7.1719780637441943E-2</v>
      </c>
      <c r="L98" s="7">
        <f>'06 Returns'!L98-'05 Factors'!$B98</f>
        <v>2.7624499264050587E-2</v>
      </c>
    </row>
    <row r="99" spans="1:12" x14ac:dyDescent="0.3">
      <c r="A99" s="16">
        <f>'06 Returns'!A99</f>
        <v>45169</v>
      </c>
      <c r="B99" s="7">
        <f>'06 Returns'!B99-'05 Factors'!$B99</f>
        <v>-8.0374127528112516E-2</v>
      </c>
      <c r="C99" s="7">
        <f>'06 Returns'!C99-'05 Factors'!$B99</f>
        <v>2.7890799433200001E-2</v>
      </c>
      <c r="D99" s="7">
        <f>'06 Returns'!D99-'05 Factors'!$B99</f>
        <v>-8.6256347701695046E-2</v>
      </c>
      <c r="E99" s="7">
        <f>'06 Returns'!E99-'05 Factors'!$B99</f>
        <v>-7.8126353783258218E-2</v>
      </c>
      <c r="F99" s="7">
        <f>'06 Returns'!F99-'05 Factors'!$B99</f>
        <v>5.1696387823222563E-2</v>
      </c>
      <c r="G99" s="7">
        <f>'06 Returns'!G99-'05 Factors'!$B99</f>
        <v>-2.3357289259881394E-2</v>
      </c>
      <c r="H99" s="7">
        <f>'06 Returns'!H99-'05 Factors'!$B99</f>
        <v>-6.9240677055261546E-2</v>
      </c>
      <c r="I99" s="7">
        <f>'06 Returns'!I99-'05 Factors'!$B99</f>
        <v>4.0832463046658059E-2</v>
      </c>
      <c r="J99" s="7">
        <f>'06 Returns'!J99-'05 Factors'!$B99</f>
        <v>1.6318639412876427E-2</v>
      </c>
      <c r="K99" s="7">
        <f>'06 Returns'!K99-'05 Factors'!$B99</f>
        <v>2.1908461548099726E-2</v>
      </c>
      <c r="L99" s="7">
        <f>'06 Returns'!L99-'05 Factors'!$B99</f>
        <v>-2.0421101962751428E-2</v>
      </c>
    </row>
    <row r="100" spans="1:12" x14ac:dyDescent="0.3">
      <c r="A100" s="16">
        <f>'06 Returns'!A100</f>
        <v>45199</v>
      </c>
      <c r="B100" s="7">
        <f>'06 Returns'!B100-'05 Factors'!$B100</f>
        <v>-3.173096379594012E-2</v>
      </c>
      <c r="C100" s="7">
        <f>'06 Returns'!C100-'05 Factors'!$B100</f>
        <v>-8.320726899092537E-2</v>
      </c>
      <c r="D100" s="7">
        <f>'06 Returns'!D100-'05 Factors'!$B100</f>
        <v>1.9607639785829772E-2</v>
      </c>
      <c r="E100" s="7">
        <f>'06 Returns'!E100-'05 Factors'!$B100</f>
        <v>-1.3252481671251511E-2</v>
      </c>
      <c r="F100" s="7">
        <f>'06 Returns'!F100-'05 Factors'!$B100</f>
        <v>-0.12287794935925669</v>
      </c>
      <c r="G100" s="7">
        <f>'06 Returns'!G100-'05 Factors'!$B100</f>
        <v>-6.6764861807355774E-2</v>
      </c>
      <c r="H100" s="7">
        <f>'06 Returns'!H100-'05 Factors'!$B100</f>
        <v>-0.13057418887422526</v>
      </c>
      <c r="I100" s="7">
        <f>'06 Returns'!I100-'05 Factors'!$B100</f>
        <v>5.3169326924506349E-2</v>
      </c>
      <c r="J100" s="7">
        <f>'06 Returns'!J100-'05 Factors'!$B100</f>
        <v>-2.0781077809320619E-2</v>
      </c>
      <c r="K100" s="7">
        <f>'06 Returns'!K100-'05 Factors'!$B100</f>
        <v>-7.7770661794411416E-2</v>
      </c>
      <c r="L100" s="7">
        <f>'06 Returns'!L100-'05 Factors'!$B100</f>
        <v>-5.1978138519438138E-2</v>
      </c>
    </row>
    <row r="101" spans="1:12" x14ac:dyDescent="0.3">
      <c r="A101" s="16">
        <f>'06 Returns'!A101</f>
        <v>45230</v>
      </c>
      <c r="B101" s="7">
        <f>'06 Returns'!B101-'05 Factors'!$B101</f>
        <v>-4.6715169303779801E-2</v>
      </c>
      <c r="C101" s="7">
        <f>'06 Returns'!C101-'05 Factors'!$B101</f>
        <v>4.2263447624224439E-2</v>
      </c>
      <c r="D101" s="7">
        <f>'06 Returns'!D101-'05 Factors'!$B101</f>
        <v>-0.20743513426172486</v>
      </c>
      <c r="E101" s="7">
        <f>'06 Returns'!E101-'05 Factors'!$B101</f>
        <v>-3.8722256194692238E-2</v>
      </c>
      <c r="F101" s="7">
        <f>'06 Returns'!F101-'05 Factors'!$B101</f>
        <v>-6.7207174085844049E-2</v>
      </c>
      <c r="G101" s="7">
        <f>'06 Returns'!G101-'05 Factors'!$B101</f>
        <v>-8.3385628557626504E-2</v>
      </c>
      <c r="H101" s="7">
        <f>'06 Returns'!H101-'05 Factors'!$B101</f>
        <v>-2.7103268926214801E-3</v>
      </c>
      <c r="I101" s="7">
        <f>'06 Returns'!I101-'05 Factors'!$B101</f>
        <v>-0.10446197756655069</v>
      </c>
      <c r="J101" s="7">
        <f>'06 Returns'!J101-'05 Factors'!$B101</f>
        <v>1.7059471944218012E-2</v>
      </c>
      <c r="K101" s="7">
        <f>'06 Returns'!K101-'05 Factors'!$B101</f>
        <v>0.10236110963202376</v>
      </c>
      <c r="L101" s="7">
        <f>'06 Returns'!L101-'05 Factors'!$B101</f>
        <v>-2.5726941294089107E-2</v>
      </c>
    </row>
    <row r="102" spans="1:12" x14ac:dyDescent="0.3">
      <c r="A102" s="16">
        <f>'06 Returns'!A102</f>
        <v>45260</v>
      </c>
      <c r="B102" s="7">
        <f>'06 Returns'!B102-'05 Factors'!$B102</f>
        <v>0.22565079859898482</v>
      </c>
      <c r="C102" s="7">
        <f>'06 Returns'!C102-'05 Factors'!$B102</f>
        <v>9.3278265517302741E-2</v>
      </c>
      <c r="D102" s="7">
        <f>'06 Returns'!D102-'05 Factors'!$B102</f>
        <v>4.790760140663948E-2</v>
      </c>
      <c r="E102" s="7">
        <f>'06 Returns'!E102-'05 Factors'!$B102</f>
        <v>0.11799334016768266</v>
      </c>
      <c r="F102" s="7">
        <f>'06 Returns'!F102-'05 Factors'!$B102</f>
        <v>0.14248574270189104</v>
      </c>
      <c r="G102" s="7">
        <f>'06 Returns'!G102-'05 Factors'!$B102</f>
        <v>6.0976432572194686E-3</v>
      </c>
      <c r="H102" s="7">
        <f>'06 Returns'!H102-'05 Factors'!$B102</f>
        <v>0.21589033740618288</v>
      </c>
      <c r="I102" s="7">
        <f>'06 Returns'!I102-'05 Factors'!$B102</f>
        <v>-2.4905513611496663E-2</v>
      </c>
      <c r="J102" s="7">
        <f>'06 Returns'!J102-'05 Factors'!$B102</f>
        <v>-5.1643058182448784E-2</v>
      </c>
      <c r="K102" s="7">
        <f>'06 Returns'!K102-'05 Factors'!$B102</f>
        <v>8.6690255661585128E-2</v>
      </c>
      <c r="L102" s="7">
        <f>'06 Returns'!L102-'05 Factors'!$B102</f>
        <v>8.6925860491057841E-2</v>
      </c>
    </row>
    <row r="103" spans="1:12" x14ac:dyDescent="0.3">
      <c r="A103" s="16">
        <f>'06 Returns'!A103</f>
        <v>45291</v>
      </c>
      <c r="B103" s="7">
        <f>'06 Returns'!B103-'05 Factors'!$B103</f>
        <v>0.21235565538632392</v>
      </c>
      <c r="C103" s="7">
        <f>'06 Returns'!C103-'05 Factors'!$B103</f>
        <v>3.5743851390516584E-2</v>
      </c>
      <c r="D103" s="7">
        <f>'06 Returns'!D103-'05 Factors'!$B103</f>
        <v>0.18380895517581639</v>
      </c>
      <c r="E103" s="7">
        <f>'06 Returns'!E103-'05 Factors'!$B103</f>
        <v>8.5525953606446964E-2</v>
      </c>
      <c r="F103" s="7">
        <f>'06 Returns'!F103-'05 Factors'!$B103</f>
        <v>5.4634141428192312E-2</v>
      </c>
      <c r="G103" s="7">
        <f>'06 Returns'!G103-'05 Factors'!$B103</f>
        <v>-5.9435986396844137E-2</v>
      </c>
      <c r="H103" s="7">
        <f>'06 Returns'!H103-'05 Factors'!$B103</f>
        <v>6.0045088426456922E-2</v>
      </c>
      <c r="I103" s="7">
        <f>'06 Returns'!I103-'05 Factors'!$B103</f>
        <v>-3.1163770895141024E-2</v>
      </c>
      <c r="J103" s="7">
        <f>'06 Returns'!J103-'05 Factors'!$B103</f>
        <v>1.2049748621856008E-2</v>
      </c>
      <c r="K103" s="7">
        <f>'06 Returns'!K103-'05 Factors'!$B103</f>
        <v>-2.0736302937435031E-2</v>
      </c>
      <c r="L103" s="7">
        <f>'06 Returns'!L103-'05 Factors'!$B103</f>
        <v>4.1130677146683475E-2</v>
      </c>
    </row>
    <row r="104" spans="1:12" x14ac:dyDescent="0.3">
      <c r="A104" s="16">
        <f>'06 Returns'!A104</f>
        <v>45322</v>
      </c>
      <c r="B104" s="7">
        <f>'06 Returns'!B104-'05 Factors'!$B104</f>
        <v>0.13287545807746196</v>
      </c>
      <c r="C104" s="7">
        <f>'06 Returns'!C104-'05 Factors'!$B104</f>
        <v>1.6755801333594816E-2</v>
      </c>
      <c r="D104" s="7">
        <f>'06 Returns'!D104-'05 Factors'!$B104</f>
        <v>-4.3256109275243447E-2</v>
      </c>
      <c r="E104" s="7">
        <f>'06 Returns'!E104-'05 Factors'!$B104</f>
        <v>2.6664629187245586E-2</v>
      </c>
      <c r="F104" s="7">
        <f>'06 Returns'!F104-'05 Factors'!$B104</f>
        <v>0.23771755647437046</v>
      </c>
      <c r="G104" s="7">
        <f>'06 Returns'!G104-'05 Factors'!$B104</f>
        <v>-4.9941288245145952E-2</v>
      </c>
      <c r="H104" s="7">
        <f>'06 Returns'!H104-'05 Factors'!$B104</f>
        <v>-2.8151693610531676E-2</v>
      </c>
      <c r="I104" s="7">
        <f>'06 Returns'!I104-'05 Factors'!$B104</f>
        <v>2.3605579827412553E-2</v>
      </c>
      <c r="J104" s="7">
        <f>'06 Returns'!J104-'05 Factors'!$B104</f>
        <v>4.3508106809564774E-2</v>
      </c>
      <c r="K104" s="7">
        <f>'06 Returns'!K104-'05 Factors'!$B104</f>
        <v>0.13758537158764531</v>
      </c>
      <c r="L104" s="7">
        <f>'06 Returns'!L104-'05 Factors'!$B104</f>
        <v>1.2104091797367083E-2</v>
      </c>
    </row>
    <row r="105" spans="1:12" x14ac:dyDescent="0.3">
      <c r="A105" s="16">
        <f>'06 Returns'!A105</f>
        <v>45351</v>
      </c>
      <c r="B105" s="7">
        <f>'06 Returns'!B105-'05 Factors'!$B105</f>
        <v>0.1439304548656066</v>
      </c>
      <c r="C105" s="7">
        <f>'06 Returns'!C105-'05 Factors'!$B105</f>
        <v>0.13471751277690866</v>
      </c>
      <c r="D105" s="7">
        <f>'06 Returns'!D105-'05 Factors'!$B105</f>
        <v>8.5873855438058241E-2</v>
      </c>
      <c r="E105" s="7">
        <f>'06 Returns'!E105-'05 Factors'!$B105</f>
        <v>6.2902583745443094E-2</v>
      </c>
      <c r="F105" s="7">
        <f>'06 Returns'!F105-'05 Factors'!$B105</f>
        <v>0.28160951007071544</v>
      </c>
      <c r="G105" s="7">
        <f>'06 Returns'!G105-'05 Factors'!$B105</f>
        <v>-2.3402275673651846E-2</v>
      </c>
      <c r="H105" s="7">
        <f>'06 Returns'!H105-'05 Factors'!$B105</f>
        <v>0.10345498758476389</v>
      </c>
      <c r="I105" s="7">
        <f>'06 Returns'!I105-'05 Factors'!$B105</f>
        <v>2.1880859502518817E-2</v>
      </c>
      <c r="J105" s="7">
        <f>'06 Returns'!J105-'05 Factors'!$B105</f>
        <v>5.9824198773335648E-2</v>
      </c>
      <c r="K105" s="7">
        <f>'06 Returns'!K105-'05 Factors'!$B105</f>
        <v>-5.9217635933199529E-2</v>
      </c>
      <c r="L105" s="7">
        <f>'06 Returns'!L105-'05 Factors'!$B105</f>
        <v>4.9195884641637357E-2</v>
      </c>
    </row>
    <row r="106" spans="1:12" x14ac:dyDescent="0.3">
      <c r="A106" s="16">
        <f>'06 Returns'!A106</f>
        <v>45382</v>
      </c>
      <c r="B106" s="7">
        <f>'06 Returns'!B106-'05 Factors'!$B106</f>
        <v>-6.6835674244824422E-2</v>
      </c>
      <c r="C106" s="7">
        <f>'06 Returns'!C106-'05 Factors'!$B106</f>
        <v>1.6179805886487902E-2</v>
      </c>
      <c r="D106" s="7">
        <f>'06 Returns'!D106-'05 Factors'!$B106</f>
        <v>6.3224215938349121E-2</v>
      </c>
      <c r="E106" s="7">
        <f>'06 Returns'!E106-'05 Factors'!$B106</f>
        <v>7.2234505151797829E-2</v>
      </c>
      <c r="F106" s="7">
        <f>'06 Returns'!F106-'05 Factors'!$B106</f>
        <v>0.13788117105486017</v>
      </c>
      <c r="G106" s="7">
        <f>'06 Returns'!G106-'05 Factors'!$B106</f>
        <v>4.0504368050738399E-2</v>
      </c>
      <c r="H106" s="7">
        <f>'06 Returns'!H106-'05 Factors'!$B106</f>
        <v>0.15454130499115057</v>
      </c>
      <c r="I106" s="7">
        <f>'06 Returns'!I106-'05 Factors'!$B106</f>
        <v>0.10783160595403404</v>
      </c>
      <c r="J106" s="7">
        <f>'06 Returns'!J106-'05 Factors'!$B106</f>
        <v>2.581307837729982E-2</v>
      </c>
      <c r="K106" s="7">
        <f>'06 Returns'!K106-'05 Factors'!$B106</f>
        <v>4.4175567257129983E-2</v>
      </c>
      <c r="L106" s="7">
        <f>'06 Returns'!L106-'05 Factors'!$B106</f>
        <v>2.7874685524495763E-2</v>
      </c>
    </row>
    <row r="107" spans="1:12" x14ac:dyDescent="0.3">
      <c r="A107" s="16">
        <f>'06 Returns'!A107</f>
        <v>45412</v>
      </c>
      <c r="B107" s="7">
        <f>'06 Returns'!B107-'05 Factors'!$B107</f>
        <v>-0.12719986113972123</v>
      </c>
      <c r="C107" s="7">
        <f>'06 Returns'!C107-'05 Factors'!$B107</f>
        <v>-3.4525949314557512E-2</v>
      </c>
      <c r="D107" s="7">
        <f>'06 Returns'!D107-'05 Factors'!$B107</f>
        <v>-8.9790384677334759E-2</v>
      </c>
      <c r="E107" s="7">
        <f>'06 Returns'!E107-'05 Factors'!$B107</f>
        <v>-4.1852140256992874E-2</v>
      </c>
      <c r="F107" s="7">
        <f>'06 Returns'!F107-'05 Factors'!$B107</f>
        <v>-4.846022696439397E-2</v>
      </c>
      <c r="G107" s="7">
        <f>'06 Returns'!G107-'05 Factors'!$B107</f>
        <v>-8.145685416720945E-2</v>
      </c>
      <c r="H107" s="7">
        <f>'06 Returns'!H107-'05 Factors'!$B107</f>
        <v>-9.6286292488542882E-2</v>
      </c>
      <c r="I107" s="7">
        <f>'06 Returns'!I107-'05 Factors'!$B107</f>
        <v>1.2763890950881745E-2</v>
      </c>
      <c r="J107" s="7">
        <f>'06 Returns'!J107-'05 Factors'!$B107</f>
        <v>-1.832813093637738E-2</v>
      </c>
      <c r="K107" s="7">
        <f>'06 Returns'!K107-'05 Factors'!$B107</f>
        <v>-4.8324757396355632E-2</v>
      </c>
      <c r="L107" s="7">
        <f>'06 Returns'!L107-'05 Factors'!$B107</f>
        <v>-4.5545058738938403E-2</v>
      </c>
    </row>
    <row r="108" spans="1:12" x14ac:dyDescent="0.3">
      <c r="A108" s="16">
        <f>'06 Returns'!A108</f>
        <v>45443</v>
      </c>
      <c r="B108" s="7">
        <f>'06 Returns'!B108-'05 Factors'!$B108</f>
        <v>4.9394600014654524E-2</v>
      </c>
      <c r="C108" s="7">
        <f>'06 Returns'!C108-'05 Factors'!$B108</f>
        <v>3.8285853771428827E-3</v>
      </c>
      <c r="D108" s="7">
        <f>'06 Returns'!D108-'05 Factors'!$B108</f>
        <v>6.0796805509821398E-3</v>
      </c>
      <c r="E108" s="7">
        <f>'06 Returns'!E108-'05 Factors'!$B108</f>
        <v>5.2395782844524022E-2</v>
      </c>
      <c r="F108" s="7">
        <f>'06 Returns'!F108-'05 Factors'!$B108</f>
        <v>0.26447117967812356</v>
      </c>
      <c r="G108" s="7">
        <f>'06 Returns'!G108-'05 Factors'!$B108</f>
        <v>0.13112751171911549</v>
      </c>
      <c r="H108" s="7">
        <f>'06 Returns'!H108-'05 Factors'!$B108</f>
        <v>-2.7664056745786356E-2</v>
      </c>
      <c r="I108" s="7">
        <f>'06 Returns'!I108-'05 Factors'!$B108</f>
        <v>-4.8866076677012557E-3</v>
      </c>
      <c r="J108" s="7">
        <f>'06 Returns'!J108-'05 Factors'!$B108</f>
        <v>0.10743860247216271</v>
      </c>
      <c r="K108" s="7">
        <f>'06 Returns'!K108-'05 Factors'!$B108</f>
        <v>3.7635828877088787E-2</v>
      </c>
      <c r="L108" s="7">
        <f>'06 Returns'!L108-'05 Factors'!$B108</f>
        <v>4.5185179904671594E-2</v>
      </c>
    </row>
    <row r="109" spans="1:12" x14ac:dyDescent="0.3">
      <c r="A109" s="16">
        <f>'06 Returns'!A109</f>
        <v>45473</v>
      </c>
      <c r="B109" s="7">
        <f>'06 Returns'!B109-'05 Factors'!$B109</f>
        <v>-3.2200583304529469E-2</v>
      </c>
      <c r="C109" s="7">
        <f>'06 Returns'!C109-'05 Factors'!$B109</f>
        <v>9.1173165531842168E-2</v>
      </c>
      <c r="D109" s="7">
        <f>'06 Returns'!D109-'05 Factors'!$B109</f>
        <v>2.9700488336602986E-2</v>
      </c>
      <c r="E109" s="7">
        <f>'06 Returns'!E109-'05 Factors'!$B109</f>
        <v>-5.9261974481808E-3</v>
      </c>
      <c r="F109" s="7">
        <f>'06 Returns'!F109-'05 Factors'!$B109</f>
        <v>0.12284298818713645</v>
      </c>
      <c r="G109" s="7">
        <f>'06 Returns'!G109-'05 Factors'!$B109</f>
        <v>-2.7826365919317093E-2</v>
      </c>
      <c r="H109" s="7">
        <f>'06 Returns'!H109-'05 Factors'!$B109</f>
        <v>-5.6098150900619322E-2</v>
      </c>
      <c r="I109" s="7">
        <f>'06 Returns'!I109-'05 Factors'!$B109</f>
        <v>-2.2350097968883216E-2</v>
      </c>
      <c r="J109" s="7">
        <f>'06 Returns'!J109-'05 Factors'!$B109</f>
        <v>2.5553345313447766E-2</v>
      </c>
      <c r="K109" s="7">
        <f>'06 Returns'!K109-'05 Factors'!$B109</f>
        <v>-1.9129625374621007E-3</v>
      </c>
      <c r="L109" s="7">
        <f>'06 Returns'!L109-'05 Factors'!$B109</f>
        <v>3.1781770580553641E-2</v>
      </c>
    </row>
    <row r="110" spans="1:12" x14ac:dyDescent="0.3">
      <c r="A110" s="16">
        <f>'06 Returns'!A110</f>
        <v>45504</v>
      </c>
      <c r="B110" s="7">
        <f>'06 Returns'!B110-'05 Factors'!$B110</f>
        <v>-0.11380281888996285</v>
      </c>
      <c r="C110" s="7">
        <f>'06 Returns'!C110-'05 Factors'!$B110</f>
        <v>-3.6945041510996139E-2</v>
      </c>
      <c r="D110" s="7">
        <f>'06 Returns'!D110-'05 Factors'!$B110</f>
        <v>-0.14166106191403077</v>
      </c>
      <c r="E110" s="7">
        <f>'06 Returns'!E110-'05 Factors'!$B110</f>
        <v>5.3441078664780935E-2</v>
      </c>
      <c r="F110" s="7">
        <f>'06 Returns'!F110-'05 Factors'!$B110</f>
        <v>-5.727639146282331E-2</v>
      </c>
      <c r="G110" s="7">
        <f>'06 Returns'!G110-'05 Factors'!$B110</f>
        <v>0.10239810453826997</v>
      </c>
      <c r="H110" s="7">
        <f>'06 Returns'!H110-'05 Factors'!$B110</f>
        <v>1.1509452695361359E-2</v>
      </c>
      <c r="I110" s="7">
        <f>'06 Returns'!I110-'05 Factors'!$B110</f>
        <v>2.5642377055006663E-2</v>
      </c>
      <c r="J110" s="7">
        <f>'06 Returns'!J110-'05 Factors'!$B110</f>
        <v>9.23508088248454E-3</v>
      </c>
      <c r="K110" s="7">
        <f>'06 Returns'!K110-'05 Factors'!$B110</f>
        <v>-5.8792427815998428E-3</v>
      </c>
      <c r="L110" s="7">
        <f>'06 Returns'!L110-'05 Factors'!$B110</f>
        <v>7.67247187155901E-3</v>
      </c>
    </row>
    <row r="111" spans="1:12" x14ac:dyDescent="0.3">
      <c r="A111" s="16">
        <f>'06 Returns'!A111</f>
        <v>45535</v>
      </c>
      <c r="B111" s="7">
        <f>'06 Returns'!B111-'05 Factors'!$B111</f>
        <v>2.3439216165821813E-2</v>
      </c>
      <c r="C111" s="7">
        <f>'06 Returns'!C111-'05 Factors'!$B111</f>
        <v>-5.0152422300489635E-2</v>
      </c>
      <c r="D111" s="7">
        <f>'06 Returns'!D111-'05 Factors'!$B111</f>
        <v>4.5504978571070526E-2</v>
      </c>
      <c r="E111" s="7">
        <f>'06 Returns'!E111-'05 Factors'!$B111</f>
        <v>5.1591014522321649E-2</v>
      </c>
      <c r="F111" s="7">
        <f>'06 Returns'!F111-'05 Factors'!$B111</f>
        <v>1.5281928951225959E-2</v>
      </c>
      <c r="G111" s="7">
        <f>'06 Returns'!G111-'05 Factors'!$B111</f>
        <v>-5.4898327308757405E-2</v>
      </c>
      <c r="H111" s="7">
        <f>'06 Returns'!H111-'05 Factors'!$B111</f>
        <v>2.4528978737688251E-2</v>
      </c>
      <c r="I111" s="7">
        <f>'06 Returns'!I111-'05 Factors'!$B111</f>
        <v>-2.2742173647288541E-3</v>
      </c>
      <c r="J111" s="7">
        <f>'06 Returns'!J111-'05 Factors'!$B111</f>
        <v>0.12355271307677698</v>
      </c>
      <c r="K111" s="7">
        <f>'06 Returns'!K111-'05 Factors'!$B111</f>
        <v>2.629557278151276E-2</v>
      </c>
      <c r="L111" s="7">
        <f>'06 Returns'!L111-'05 Factors'!$B111</f>
        <v>1.9456361136437256E-2</v>
      </c>
    </row>
    <row r="112" spans="1:12" x14ac:dyDescent="0.3">
      <c r="A112" s="16">
        <f>'06 Returns'!A112</f>
        <v>45565</v>
      </c>
      <c r="B112" s="7">
        <f>'06 Returns'!B112-'05 Factors'!$B112</f>
        <v>0.10046960505526581</v>
      </c>
      <c r="C112" s="7">
        <f>'06 Returns'!C112-'05 Factors'!$B112</f>
        <v>3.98655564761905E-2</v>
      </c>
      <c r="D112" s="7">
        <f>'06 Returns'!D112-'05 Factors'!$B112</f>
        <v>-6.0300398842095593E-2</v>
      </c>
      <c r="E112" s="7">
        <f>'06 Returns'!E112-'05 Factors'!$B112</f>
        <v>-6.6010687169932858E-2</v>
      </c>
      <c r="F112" s="7">
        <f>'06 Returns'!F112-'05 Factors'!$B112</f>
        <v>1.3428216201685887E-2</v>
      </c>
      <c r="G112" s="7">
        <f>'06 Returns'!G112-'05 Factors'!$B112</f>
        <v>-6.4129348856010147E-3</v>
      </c>
      <c r="H112" s="7">
        <f>'06 Returns'!H112-'05 Factors'!$B112</f>
        <v>1.0581649038620137E-2</v>
      </c>
      <c r="I112" s="7">
        <f>'06 Returns'!I112-'05 Factors'!$B112</f>
        <v>-1.0104844504548956E-2</v>
      </c>
      <c r="J112" s="7">
        <f>'06 Returns'!J112-'05 Factors'!$B112</f>
        <v>4.1578213022083199E-2</v>
      </c>
      <c r="K112" s="7">
        <f>'06 Returns'!K112-'05 Factors'!$B112</f>
        <v>7.0916492333829906E-2</v>
      </c>
      <c r="L112" s="7">
        <f>'06 Returns'!L112-'05 Factors'!$B112</f>
        <v>1.7357051858536868E-2</v>
      </c>
    </row>
    <row r="113" spans="1:12" x14ac:dyDescent="0.3">
      <c r="A113" s="16">
        <f>'06 Returns'!A113</f>
        <v>45596</v>
      </c>
      <c r="B113" s="7">
        <f>'06 Returns'!B113-'05 Factors'!$B113</f>
        <v>-0.12585267115860962</v>
      </c>
      <c r="C113" s="7">
        <f>'06 Returns'!C113-'05 Factors'!$B113</f>
        <v>-3.5243650281102509E-3</v>
      </c>
      <c r="D113" s="7">
        <f>'06 Returns'!D113-'05 Factors'!$B113</f>
        <v>-2.9468055814827573E-2</v>
      </c>
      <c r="E113" s="7">
        <f>'06 Returns'!E113-'05 Factors'!$B113</f>
        <v>5.5001280867671878E-2</v>
      </c>
      <c r="F113" s="7">
        <f>'06 Returns'!F113-'05 Factors'!$B113</f>
        <v>8.9314656272755824E-2</v>
      </c>
      <c r="G113" s="7">
        <f>'06 Returns'!G113-'05 Factors'!$B113</f>
        <v>-2.6014781660707351E-2</v>
      </c>
      <c r="H113" s="7">
        <f>'06 Returns'!H113-'05 Factors'!$B113</f>
        <v>-4.1241341278399166E-2</v>
      </c>
      <c r="I113" s="7">
        <f>'06 Returns'!I113-'05 Factors'!$B113</f>
        <v>-7.6538002789838652E-3</v>
      </c>
      <c r="J113" s="7">
        <f>'06 Returns'!J113-'05 Factors'!$B113</f>
        <v>1.0960676647299841E-2</v>
      </c>
      <c r="K113" s="7">
        <f>'06 Returns'!K113-'05 Factors'!$B113</f>
        <v>-5.1157215945401666E-2</v>
      </c>
      <c r="L113" s="7">
        <f>'06 Returns'!L113-'05 Factors'!$B113</f>
        <v>-1.2968007654323585E-2</v>
      </c>
    </row>
    <row r="114" spans="1:12" x14ac:dyDescent="0.3">
      <c r="A114" s="16">
        <f>'06 Returns'!A114</f>
        <v>45626</v>
      </c>
      <c r="B114" s="7">
        <f>'06 Returns'!B114-'05 Factors'!$B114</f>
        <v>-5.182407369845532E-2</v>
      </c>
      <c r="C114" s="7">
        <f>'06 Returns'!C114-'05 Factors'!$B114</f>
        <v>0.11128973282043209</v>
      </c>
      <c r="D114" s="7">
        <f>'06 Returns'!D114-'05 Factors'!$B114</f>
        <v>9.2328820864240546E-2</v>
      </c>
      <c r="E114" s="7">
        <f>'06 Returns'!E114-'05 Factors'!$B114</f>
        <v>0.12127046687683651</v>
      </c>
      <c r="F114" s="7">
        <f>'06 Returns'!F114-'05 Factors'!$B114</f>
        <v>3.7352724061388676E-2</v>
      </c>
      <c r="G114" s="7">
        <f>'06 Returns'!G114-'05 Factors'!$B114</f>
        <v>-6.3466203761530671E-2</v>
      </c>
      <c r="H114" s="7">
        <f>'06 Returns'!H114-'05 Factors'!$B114</f>
        <v>-0.11579143637305689</v>
      </c>
      <c r="I114" s="7">
        <f>'06 Returns'!I114-'05 Factors'!$B114</f>
        <v>1.4404723366886255E-2</v>
      </c>
      <c r="J114" s="7">
        <f>'06 Returns'!J114-'05 Factors'!$B114</f>
        <v>0.1247369610907354</v>
      </c>
      <c r="K114" s="7">
        <f>'06 Returns'!K114-'05 Factors'!$B114</f>
        <v>4.8456500631664623E-2</v>
      </c>
      <c r="L114" s="7">
        <f>'06 Returns'!L114-'05 Factors'!$B114</f>
        <v>5.4700568015709106E-2</v>
      </c>
    </row>
    <row r="115" spans="1:12" x14ac:dyDescent="0.3">
      <c r="A115" s="16">
        <f>'06 Returns'!A115</f>
        <v>45657</v>
      </c>
      <c r="B115" s="7">
        <f>'06 Returns'!B115-'05 Factors'!$B115</f>
        <v>-0.12317800433778188</v>
      </c>
      <c r="C115" s="7">
        <f>'06 Returns'!C115-'05 Factors'!$B115</f>
        <v>5.1617716262176074E-2</v>
      </c>
      <c r="D115" s="7">
        <f>'06 Returns'!D115-'05 Factors'!$B115</f>
        <v>-0.11421225925777363</v>
      </c>
      <c r="E115" s="7">
        <f>'06 Returns'!E115-'05 Factors'!$B115</f>
        <v>-4.3784923419840714E-2</v>
      </c>
      <c r="F115" s="7">
        <f>'06 Returns'!F115-'05 Factors'!$B115</f>
        <v>-3.2276914501042829E-2</v>
      </c>
      <c r="G115" s="7">
        <f>'06 Returns'!G115-'05 Factors'!$B115</f>
        <v>8.5091580914043261E-3</v>
      </c>
      <c r="H115" s="7">
        <f>'06 Returns'!H115-'05 Factors'!$B115</f>
        <v>1.7991151341564517E-2</v>
      </c>
      <c r="I115" s="7">
        <f>'06 Returns'!I115-'05 Factors'!$B115</f>
        <v>-9.1780621076664251E-2</v>
      </c>
      <c r="J115" s="7">
        <f>'06 Returns'!J115-'05 Factors'!$B115</f>
        <v>-2.477915504636604E-2</v>
      </c>
      <c r="K115" s="7">
        <f>'06 Returns'!K115-'05 Factors'!$B115</f>
        <v>-0.10180556626723809</v>
      </c>
      <c r="L115" s="7">
        <f>'06 Returns'!L115-'05 Factors'!$B115</f>
        <v>-2.7538094363162978E-2</v>
      </c>
    </row>
    <row r="116" spans="1:12" x14ac:dyDescent="0.3">
      <c r="A116" s="16">
        <f>'06 Returns'!A116</f>
        <v>45688</v>
      </c>
      <c r="B116" s="7">
        <f>'06 Returns'!B116-'05 Factors'!$B116</f>
        <v>-4.3769574727181536E-2</v>
      </c>
      <c r="C116" s="7">
        <f>'06 Returns'!C116-'05 Factors'!$B116</f>
        <v>7.9667488658800065E-2</v>
      </c>
      <c r="D116" s="7">
        <f>'06 Returns'!D116-'05 Factors'!$B116</f>
        <v>1.4481839593262472E-2</v>
      </c>
      <c r="E116" s="7">
        <f>'06 Returns'!E116-'05 Factors'!$B116</f>
        <v>0.11715634389186262</v>
      </c>
      <c r="F116" s="7">
        <f>'06 Returns'!F116-'05 Factors'!$B116</f>
        <v>-0.10959007757016788</v>
      </c>
      <c r="G116" s="7">
        <f>'06 Returns'!G116-'05 Factors'!$B116</f>
        <v>1.2448978081515608E-2</v>
      </c>
      <c r="H116" s="7">
        <f>'06 Returns'!H116-'05 Factors'!$B116</f>
        <v>1.6495382144256644E-2</v>
      </c>
      <c r="I116" s="7">
        <f>'06 Returns'!I116-'05 Factors'!$B116</f>
        <v>-1.0579198620039273E-2</v>
      </c>
      <c r="J116" s="7">
        <f>'06 Returns'!J116-'05 Factors'!$B116</f>
        <v>8.2741672883218695E-2</v>
      </c>
      <c r="K116" s="7">
        <f>'06 Returns'!K116-'05 Factors'!$B116</f>
        <v>-1.2495161790386424E-3</v>
      </c>
      <c r="L116" s="7">
        <f>'06 Returns'!L116-'05 Factors'!$B116</f>
        <v>2.4147318317457457E-2</v>
      </c>
    </row>
    <row r="117" spans="1:12" x14ac:dyDescent="0.3">
      <c r="A117" s="16">
        <f>'06 Returns'!A117</f>
        <v>45716</v>
      </c>
      <c r="B117" s="7">
        <f>'06 Returns'!B117-'05 Factors'!$B117</f>
        <v>-0.14206668185524732</v>
      </c>
      <c r="C117" s="7">
        <f>'06 Returns'!C117-'05 Factors'!$B117</f>
        <v>-0.11016635257358279</v>
      </c>
      <c r="D117" s="7">
        <f>'06 Returns'!D117-'05 Factors'!$B117</f>
        <v>-2.4917916610815913E-2</v>
      </c>
      <c r="E117" s="7">
        <f>'06 Returns'!E117-'05 Factors'!$B117</f>
        <v>-1.32140102703148E-2</v>
      </c>
      <c r="F117" s="7">
        <f>'06 Returns'!F117-'05 Factors'!$B117</f>
        <v>3.7093122637556014E-2</v>
      </c>
      <c r="G117" s="7">
        <f>'06 Returns'!G117-'05 Factors'!$B117</f>
        <v>-6.6936516220592905E-3</v>
      </c>
      <c r="H117" s="7">
        <f>'06 Returns'!H117-'05 Factors'!$B117</f>
        <v>-9.4739761001840256E-2</v>
      </c>
      <c r="I117" s="7">
        <f>'06 Returns'!I117-'05 Factors'!$B117</f>
        <v>4.814435305154649E-2</v>
      </c>
      <c r="J117" s="7">
        <f>'06 Returns'!J117-'05 Factors'!$B117</f>
        <v>1.2843931799729454E-3</v>
      </c>
      <c r="K117" s="7">
        <f>'06 Returns'!K117-'05 Factors'!$B117</f>
        <v>9.0886177179723221E-2</v>
      </c>
      <c r="L117" s="7">
        <f>'06 Returns'!L117-'05 Factors'!$B117</f>
        <v>-1.6347637678160307E-2</v>
      </c>
    </row>
    <row r="118" spans="1:12" x14ac:dyDescent="0.3">
      <c r="A118" s="16">
        <f>'06 Returns'!A118</f>
        <v>45747</v>
      </c>
      <c r="B118" s="7">
        <f>'06 Returns'!B118-'05 Factors'!$B118</f>
        <v>2.5440348848346186E-2</v>
      </c>
      <c r="C118" s="7">
        <f>'06 Returns'!C118-'05 Factors'!$B118</f>
        <v>-0.10713094214554124</v>
      </c>
      <c r="D118" s="7">
        <f>'06 Returns'!D118-'05 Factors'!$B118</f>
        <v>4.6861916490678571E-2</v>
      </c>
      <c r="E118" s="7">
        <f>'06 Returns'!E118-'05 Factors'!$B118</f>
        <v>-7.6515208584336733E-2</v>
      </c>
      <c r="F118" s="7">
        <f>'06 Returns'!F118-'05 Factors'!$B118</f>
        <v>-0.13572499060565082</v>
      </c>
      <c r="G118" s="7">
        <f>'06 Returns'!G118-'05 Factors'!$B118</f>
        <v>-4.4641009031105058E-2</v>
      </c>
      <c r="H118" s="7">
        <f>'06 Returns'!H118-'05 Factors'!$B118</f>
        <v>-0.1634129477078731</v>
      </c>
      <c r="I118" s="7">
        <f>'06 Returns'!I118-'05 Factors'!$B118</f>
        <v>6.4865554243546411E-2</v>
      </c>
      <c r="J118" s="7">
        <f>'06 Returns'!J118-'05 Factors'!$B118</f>
        <v>-0.11068043408293053</v>
      </c>
      <c r="K118" s="7">
        <f>'06 Returns'!K118-'05 Factors'!$B118</f>
        <v>4.9036126445830178E-2</v>
      </c>
      <c r="L118" s="7">
        <f>'06 Returns'!L118-'05 Factors'!$B118</f>
        <v>-5.9744280452193307E-2</v>
      </c>
    </row>
    <row r="119" spans="1:12" x14ac:dyDescent="0.3">
      <c r="A119" s="16">
        <f>'06 Returns'!A119</f>
        <v>45777</v>
      </c>
      <c r="B119" s="7">
        <f>'06 Returns'!B119-'05 Factors'!$B119</f>
        <v>-5.5962521919018349E-2</v>
      </c>
      <c r="C119" s="7">
        <f>'06 Returns'!C119-'05 Factors'!$B119</f>
        <v>-3.4194820280703475E-2</v>
      </c>
      <c r="D119" s="7">
        <f>'06 Returns'!D119-'05 Factors'!$B119</f>
        <v>-5.49407425982101E-3</v>
      </c>
      <c r="E119" s="7">
        <f>'06 Returns'!E119-'05 Factors'!$B119</f>
        <v>-1.2976568617422942E-4</v>
      </c>
      <c r="F119" s="7">
        <f>'06 Returns'!F119-'05 Factors'!$B119</f>
        <v>1.4824814687089435E-3</v>
      </c>
      <c r="G119" s="7">
        <f>'06 Returns'!G119-'05 Factors'!$B119</f>
        <v>-4.0200888096346421E-2</v>
      </c>
      <c r="H119" s="7">
        <f>'06 Returns'!H119-'05 Factors'!$B119</f>
        <v>-7.6899778119723095E-2</v>
      </c>
      <c r="I119" s="7">
        <f>'06 Returns'!I119-'05 Factors'!$B119</f>
        <v>-0.11533052892922763</v>
      </c>
      <c r="J119" s="7">
        <f>'06 Returns'!J119-'05 Factors'!$B119</f>
        <v>0.10425710176069752</v>
      </c>
      <c r="K119" s="7">
        <f>'06 Returns'!K119-'05 Factors'!$B119</f>
        <v>-1.6557918074586894E-2</v>
      </c>
      <c r="L119" s="7">
        <f>'06 Returns'!L119-'05 Factors'!$B119</f>
        <v>-1.0281463483642724E-2</v>
      </c>
    </row>
    <row r="120" spans="1:12" x14ac:dyDescent="0.3">
      <c r="A120" s="16">
        <f>'06 Returns'!A120</f>
        <v>45808</v>
      </c>
      <c r="B120" s="7">
        <f>'06 Returns'!B120-'05 Factors'!$B120</f>
        <v>0.13364227111066421</v>
      </c>
      <c r="C120" s="7">
        <f>'06 Returns'!C120-'05 Factors'!$B120</f>
        <v>0.10784730800578138</v>
      </c>
      <c r="D120" s="7">
        <f>'06 Returns'!D120-'05 Factors'!$B120</f>
        <v>4.8293778335599474E-2</v>
      </c>
      <c r="E120" s="7">
        <f>'06 Returns'!E120-'05 Factors'!$B120</f>
        <v>7.5424991791195356E-2</v>
      </c>
      <c r="F120" s="7">
        <f>'06 Returns'!F120-'05 Factors'!$B120</f>
        <v>0.23683554741934779</v>
      </c>
      <c r="G120" s="7">
        <f>'06 Returns'!G120-'05 Factors'!$B120</f>
        <v>-2.3131215477973231E-2</v>
      </c>
      <c r="H120" s="7">
        <f>'06 Returns'!H120-'05 Factors'!$B120</f>
        <v>-2.0503849653879722E-2</v>
      </c>
      <c r="I120" s="7">
        <f>'06 Returns'!I120-'05 Factors'!$B120</f>
        <v>-2.640517182752353E-2</v>
      </c>
      <c r="J120" s="7">
        <f>'06 Returns'!J120-'05 Factors'!$B120</f>
        <v>1.3770113129600662E-2</v>
      </c>
      <c r="K120" s="7">
        <f>'06 Returns'!K120-'05 Factors'!$B120</f>
        <v>-6.0698411617986243E-3</v>
      </c>
      <c r="L120" s="7">
        <f>'06 Returns'!L120-'05 Factors'!$B120</f>
        <v>5.9145235246806732E-2</v>
      </c>
    </row>
    <row r="121" spans="1:12" x14ac:dyDescent="0.3">
      <c r="A121" s="16">
        <f>'06 Returns'!A121</f>
        <v>45838</v>
      </c>
      <c r="B121" s="7">
        <f>'06 Returns'!B121-'05 Factors'!$B121</f>
        <v>0.27809543569059719</v>
      </c>
      <c r="C121" s="7">
        <f>'06 Returns'!C121-'05 Factors'!$B121</f>
        <v>6.6742945555315528E-2</v>
      </c>
      <c r="D121" s="7">
        <f>'06 Returns'!D121-'05 Factors'!$B121</f>
        <v>4.1879456939800067E-2</v>
      </c>
      <c r="E121" s="7">
        <f>'06 Returns'!E121-'05 Factors'!$B121</f>
        <v>9.4743794982949783E-2</v>
      </c>
      <c r="F121" s="7">
        <f>'06 Returns'!F121-'05 Factors'!$B121</f>
        <v>0.16585155001756621</v>
      </c>
      <c r="G121" s="7">
        <f>'06 Returns'!G121-'05 Factors'!$B121</f>
        <v>2.8528446788899611E-2</v>
      </c>
      <c r="H121" s="7">
        <f>'06 Returns'!H121-'05 Factors'!$B121</f>
        <v>4.5956488221834249E-2</v>
      </c>
      <c r="I121" s="7">
        <f>'06 Returns'!I121-'05 Factors'!$B121</f>
        <v>5.0363450023830872E-2</v>
      </c>
      <c r="J121" s="7">
        <f>'06 Returns'!J121-'05 Factors'!$B121</f>
        <v>-1.2921857370792919E-2</v>
      </c>
      <c r="K121" s="7">
        <f>'06 Returns'!K121-'05 Factors'!$B121</f>
        <v>-1.9096027671577517E-2</v>
      </c>
      <c r="L121" s="7">
        <f>'06 Returns'!L121-'05 Factors'!$B121</f>
        <v>4.7452438749549256E-2</v>
      </c>
    </row>
    <row r="122" spans="1:12" x14ac:dyDescent="0.3">
      <c r="A122" s="16">
        <f>'06 Returns'!A122</f>
        <v>45869</v>
      </c>
      <c r="B122" s="7">
        <f>'06 Returns'!B122-'05 Factors'!$B122</f>
        <v>0.23909475083289608</v>
      </c>
      <c r="C122" s="7">
        <f>'06 Returns'!C122-'05 Factors'!$B122</f>
        <v>6.3695133146123364E-2</v>
      </c>
      <c r="D122" s="7">
        <f>'06 Returns'!D122-'05 Factors'!$B122</f>
        <v>1.6876330825087063E-2</v>
      </c>
      <c r="E122" s="7">
        <f>'06 Returns'!E122-'05 Factors'!$B122</f>
        <v>2.3357209850395202E-2</v>
      </c>
      <c r="F122" s="7">
        <f>'06 Returns'!F122-'05 Factors'!$B122</f>
        <v>0.12243069473010045</v>
      </c>
      <c r="G122" s="7">
        <f>'06 Returns'!G122-'05 Factors'!$B122</f>
        <v>-2.6012437314546874E-2</v>
      </c>
      <c r="H122" s="7">
        <f>'06 Returns'!H122-'05 Factors'!$B122</f>
        <v>1.5353076775092081E-2</v>
      </c>
      <c r="I122" s="7">
        <f>'06 Returns'!I122-'05 Factors'!$B122</f>
        <v>3.2221428466213078E-2</v>
      </c>
      <c r="J122" s="7">
        <f>'06 Returns'!J122-'05 Factors'!$B122</f>
        <v>-1.3545884724905223E-3</v>
      </c>
      <c r="K122" s="7">
        <f>'06 Returns'!K122-'05 Factors'!$B122</f>
        <v>7.9189219307236646E-4</v>
      </c>
      <c r="L122" s="7">
        <f>'06 Returns'!L122-'05 Factors'!$B122</f>
        <v>1.9042682801394387E-2</v>
      </c>
    </row>
    <row r="123" spans="1:12" x14ac:dyDescent="0.3">
      <c r="A123" s="16">
        <f>'06 Returns'!A123</f>
        <v>45900</v>
      </c>
      <c r="B123" s="7">
        <f>'06 Returns'!B123-'05 Factors'!$B123</f>
        <v>-8.1390566986549756E-2</v>
      </c>
      <c r="C123" s="7">
        <f>'06 Returns'!C123-'05 Factors'!$B123</f>
        <v>-2.5627348668084669E-2</v>
      </c>
      <c r="D123" s="7">
        <f>'06 Returns'!D123-'05 Factors'!$B123</f>
        <v>7.3712071119454797E-2</v>
      </c>
      <c r="E123" s="7">
        <f>'06 Returns'!E123-'05 Factors'!$B123</f>
        <v>1.3685825680573886E-2</v>
      </c>
      <c r="F123" s="7">
        <f>'06 Returns'!F123-'05 Factors'!$B123</f>
        <v>-2.454555234350728E-2</v>
      </c>
      <c r="G123" s="7">
        <f>'06 Returns'!G123-'05 Factors'!$B123</f>
        <v>5.9317258780899246E-2</v>
      </c>
      <c r="H123" s="7">
        <f>'06 Returns'!H123-'05 Factors'!$B123</f>
        <v>-3.841793075009145E-2</v>
      </c>
      <c r="I123" s="7">
        <f>'06 Returns'!I123-'05 Factors'!$B123</f>
        <v>2.9463224950657032E-2</v>
      </c>
      <c r="J123" s="7">
        <f>'06 Returns'!J123-'05 Factors'!$B123</f>
        <v>-1.1694354704739869E-2</v>
      </c>
      <c r="K123" s="7">
        <f>'06 Returns'!K123-'05 Factors'!$B123</f>
        <v>3.0578037274459981E-2</v>
      </c>
      <c r="L123" s="7">
        <f>'06 Returns'!L123-'05 Factors'!$B123</f>
        <v>1.6471783336112125E-2</v>
      </c>
    </row>
    <row r="124" spans="1:12" x14ac:dyDescent="0.3">
      <c r="A124" s="16">
        <f>'06 Returns'!A124</f>
        <v>45930</v>
      </c>
      <c r="B124" s="7">
        <f>'06 Returns'!B124-'05 Factors'!$B124</f>
        <v>-8.4651698442998226E-3</v>
      </c>
      <c r="C124" s="7">
        <f>'06 Returns'!C124-'05 Factors'!$B124</f>
        <v>-4.4479007318777325E-2</v>
      </c>
      <c r="D124" s="7">
        <f>'06 Returns'!D124-'05 Factors'!$B124</f>
        <v>1.2842782745896422E-2</v>
      </c>
      <c r="E124" s="7">
        <f>'06 Returns'!E124-'05 Factors'!$B124</f>
        <v>4.3179996337209786E-2</v>
      </c>
      <c r="F124" s="7">
        <f>'06 Returns'!F124-'05 Factors'!$B124</f>
        <v>6.7951197077602415E-2</v>
      </c>
      <c r="G124" s="7">
        <f>'06 Returns'!G124-'05 Factors'!$B124</f>
        <v>2.577913063541434E-2</v>
      </c>
      <c r="H124" s="7">
        <f>'06 Returns'!H124-'05 Factors'!$B124</f>
        <v>-6.8730388339313803E-2</v>
      </c>
      <c r="I124" s="7">
        <f>'06 Returns'!I124-'05 Factors'!$B124</f>
        <v>-1.677439394572525E-2</v>
      </c>
      <c r="J124" s="7">
        <f>'06 Returns'!J124-'05 Factors'!$B124</f>
        <v>5.9393327444357519E-2</v>
      </c>
      <c r="K124" s="7">
        <f>'06 Returns'!K124-'05 Factors'!$B124</f>
        <v>-9.6305432326404851E-3</v>
      </c>
      <c r="L124" s="7">
        <f>'06 Returns'!L124-'05 Factors'!$B124</f>
        <v>3.3199951666603805E-2</v>
      </c>
    </row>
    <row r="125" spans="1:12" x14ac:dyDescent="0.3">
      <c r="A125" s="16">
        <f>'06 Returns'!A125</f>
        <v>45961</v>
      </c>
      <c r="B125" s="7">
        <f>'06 Returns'!B125-'05 Factors'!$B125</f>
        <v>0.57933977838883144</v>
      </c>
      <c r="C125" s="7">
        <f>'06 Returns'!C125-'05 Factors'!$B125</f>
        <v>0.10856484981906571</v>
      </c>
      <c r="D125" s="7">
        <f>'06 Returns'!D125-'05 Factors'!$B125</f>
        <v>9.4126112353539557E-2</v>
      </c>
      <c r="E125" s="7">
        <f>'06 Returns'!E125-'05 Factors'!$B125</f>
        <v>-1.2568578601648469E-2</v>
      </c>
      <c r="F125" s="7">
        <f>'06 Returns'!F125-'05 Factors'!$B125</f>
        <v>8.1571757580014156E-2</v>
      </c>
      <c r="G125" s="7">
        <f>'06 Returns'!G125-'05 Factors'!$B125</f>
        <v>-3.6274531947592413E-2</v>
      </c>
      <c r="H125" s="7">
        <f>'06 Returns'!H125-'05 Factors'!$B125</f>
        <v>2.9967746409957509E-2</v>
      </c>
      <c r="I125" s="7">
        <f>'06 Returns'!I125-'05 Factors'!$B125</f>
        <v>1.0579302568372065E-2</v>
      </c>
      <c r="J125" s="7">
        <f>'06 Returns'!J125-'05 Factors'!$B125</f>
        <v>-2.1941876353383259E-2</v>
      </c>
      <c r="K125" s="7">
        <f>'06 Returns'!K125-'05 Factors'!$B125</f>
        <v>-8.3947405825828672E-2</v>
      </c>
      <c r="L125" s="7">
        <f>'06 Returns'!L125-'05 Factors'!$B125</f>
        <v>1.9713709982780915E-2</v>
      </c>
    </row>
    <row r="126" spans="1:12" x14ac:dyDescent="0.3">
      <c r="A126" s="16">
        <f>'06 Returns'!A126</f>
        <v>45991</v>
      </c>
      <c r="B126" s="7">
        <f>'06 Returns'!B126-'05 Factors'!$B126</f>
        <v>-0.1536715487807635</v>
      </c>
      <c r="C126" s="7">
        <f>'06 Returns'!C126-'05 Factors'!$B126</f>
        <v>-4.804135592909875E-2</v>
      </c>
      <c r="D126" s="7">
        <f>'06 Returns'!D126-'05 Factors'!$B126</f>
        <v>2.0121450119532262E-2</v>
      </c>
      <c r="E126" s="7">
        <f>'06 Returns'!E126-'05 Factors'!$B126</f>
        <v>3.2998151342144037E-3</v>
      </c>
      <c r="F126" s="7">
        <f>'06 Returns'!F126-'05 Factors'!$B126</f>
        <v>-0.12888275497015222</v>
      </c>
      <c r="G126" s="7">
        <f>'06 Returns'!G126-'05 Factors'!$B126</f>
        <v>5.9606092445134373E-2</v>
      </c>
      <c r="H126" s="7">
        <f>'06 Returns'!H126-'05 Factors'!$B126</f>
        <v>-1.332925429111009E-2</v>
      </c>
      <c r="I126" s="7">
        <f>'06 Returns'!I126-'05 Factors'!$B126</f>
        <v>1.9507006670847486E-2</v>
      </c>
      <c r="J126" s="7">
        <f>'06 Returns'!J126-'05 Factors'!$B126</f>
        <v>8.9211943940767591E-2</v>
      </c>
      <c r="K126" s="7">
        <f>'06 Returns'!K126-'05 Factors'!$B126</f>
        <v>3.1474039824386568E-2</v>
      </c>
      <c r="L126" s="7">
        <f>'06 Returns'!L126-'05 Factors'!$B126</f>
        <v>-5.4912513740046093E-4</v>
      </c>
    </row>
    <row r="127" spans="1:12" x14ac:dyDescent="0.3">
      <c r="A127" s="16">
        <f>'06 Returns'!A127</f>
        <v>46022</v>
      </c>
      <c r="B127" s="7">
        <f>'06 Returns'!B127-'05 Factors'!$B127</f>
        <v>-1.8892093669451812E-2</v>
      </c>
      <c r="C127" s="7">
        <f>'06 Returns'!C127-'05 Factors'!$B127</f>
        <v>-1.3690686409549221E-2</v>
      </c>
      <c r="D127" s="7">
        <f>'06 Returns'!D127-'05 Factors'!$B127</f>
        <v>-1.5448165918650433E-2</v>
      </c>
      <c r="E127" s="7">
        <f>'06 Returns'!E127-'05 Factors'!$B127</f>
        <v>2.579389874710343E-2</v>
      </c>
      <c r="F127" s="7">
        <f>'06 Returns'!F127-'05 Factors'!$B127</f>
        <v>5.0330906311371562E-2</v>
      </c>
      <c r="G127" s="7">
        <f>'06 Returns'!G127-'05 Factors'!$B127</f>
        <v>-3.603400865534527E-2</v>
      </c>
      <c r="H127" s="7">
        <f>'06 Returns'!H127-'05 Factors'!$B127</f>
        <v>7.5280230711281496E-2</v>
      </c>
      <c r="I127" s="7">
        <f>'06 Returns'!I127-'05 Factors'!$B127</f>
        <v>3.4729820343925313E-2</v>
      </c>
      <c r="J127" s="7">
        <f>'06 Returns'!J127-'05 Factors'!$B127</f>
        <v>6.7991599693749266E-3</v>
      </c>
      <c r="K127" s="7">
        <f>'06 Returns'!K127-'05 Factors'!$B127</f>
        <v>-1.2643579714490302E-2</v>
      </c>
      <c r="L127" s="7">
        <f>'06 Returns'!L127-'05 Factors'!$B127</f>
        <v>-2.7879126012112922E-3</v>
      </c>
    </row>
    <row r="131" spans="1:11" ht="25.95" customHeight="1" x14ac:dyDescent="0.3">
      <c r="A131" s="25" t="s">
        <v>82</v>
      </c>
      <c r="B131" s="22"/>
      <c r="C131" s="22"/>
      <c r="D131" s="22"/>
      <c r="E131" s="22"/>
      <c r="F131" s="22"/>
      <c r="G131" s="22"/>
      <c r="H131" s="22"/>
      <c r="I131" s="22"/>
      <c r="J131" s="22"/>
      <c r="K131" s="22"/>
    </row>
    <row r="132" spans="1:11" ht="30" customHeight="1" x14ac:dyDescent="0.3">
      <c r="A132" s="21" t="s">
        <v>160</v>
      </c>
      <c r="B132" s="22"/>
      <c r="C132" s="22"/>
      <c r="D132" s="22"/>
      <c r="E132" s="22"/>
      <c r="F132" s="22"/>
      <c r="G132" s="22"/>
      <c r="H132" s="22"/>
      <c r="I132" s="22"/>
      <c r="J132" s="22"/>
      <c r="K132" s="22"/>
    </row>
    <row r="133" spans="1:11" ht="30" customHeight="1" x14ac:dyDescent="0.3">
      <c r="A133" s="21" t="s">
        <v>161</v>
      </c>
      <c r="B133" s="22"/>
      <c r="C133" s="22"/>
      <c r="D133" s="22"/>
      <c r="E133" s="22"/>
      <c r="F133" s="22"/>
      <c r="G133" s="22"/>
      <c r="H133" s="22"/>
      <c r="I133" s="22"/>
      <c r="J133" s="22"/>
      <c r="K133" s="22"/>
    </row>
  </sheetData>
  <mergeCells count="5">
    <mergeCell ref="A131:K131"/>
    <mergeCell ref="A3:K3"/>
    <mergeCell ref="A1:K1"/>
    <mergeCell ref="A133:K133"/>
    <mergeCell ref="A132:K132"/>
  </mergeCells>
  <hyperlinks>
    <hyperlink ref="A2" location="'00 Start'!A1" display="Back to guide" xr:uid="{00000000-0004-0000-0700-000000000000}"/>
  </hyperlinks>
  <printOptions horizontalCentered="1"/>
  <pageMargins left="0.25" right="0.25" top="0.35" bottom="0.35" header="0.5" footer="0.5"/>
  <pageSetup paperSize="9" fitToHeight="0" orientation="landscape"/>
  <headerFooter>
    <oddFooter>&amp;CBFIN | &amp;A |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68B80"/>
    <pageSetUpPr fitToPage="1"/>
  </sheetPr>
  <dimension ref="A1:K28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14" width="13" customWidth="1"/>
  </cols>
  <sheetData>
    <row r="1" spans="1:11" ht="25.95" customHeight="1" x14ac:dyDescent="0.3">
      <c r="A1" s="24" t="s">
        <v>162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5.6" x14ac:dyDescent="0.3">
      <c r="A2" s="1" t="s">
        <v>55</v>
      </c>
    </row>
    <row r="3" spans="1:11" ht="42" customHeight="1" x14ac:dyDescent="0.3">
      <c r="A3" s="21" t="s">
        <v>163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7" spans="1:11" ht="34.049999999999997" customHeight="1" x14ac:dyDescent="0.3">
      <c r="A7" s="4" t="s">
        <v>164</v>
      </c>
      <c r="B7" s="4" t="s">
        <v>80</v>
      </c>
      <c r="C7" s="4" t="s">
        <v>165</v>
      </c>
      <c r="D7" s="4" t="s">
        <v>166</v>
      </c>
      <c r="E7" s="4" t="s">
        <v>167</v>
      </c>
      <c r="F7" s="4" t="s">
        <v>168</v>
      </c>
      <c r="G7" s="4" t="s">
        <v>169</v>
      </c>
    </row>
    <row r="8" spans="1:11" x14ac:dyDescent="0.3">
      <c r="A8" s="2" t="s">
        <v>131</v>
      </c>
      <c r="B8" s="7">
        <f>INDEX(LINEST('07 Excess'!B$8:B$127,'05 Factors'!C$8:C$127,TRUE,TRUE),1,2)</f>
        <v>2.6214739020508068E-2</v>
      </c>
      <c r="C8" s="17">
        <f>INDEX(LINEST('07 Excess'!B$8:B$127,'05 Factors'!C$8:C$127,TRUE,TRUE),1,1)</f>
        <v>2.0435955968643644</v>
      </c>
      <c r="D8" s="17">
        <f>INDEX(LINEST('07 Excess'!B$8:B$127,'05 Factors'!C$8:C$127,TRUE,TRUE),3,1)</f>
        <v>0.29982822356862188</v>
      </c>
      <c r="E8" s="18">
        <f>INDEX(LINEST('07 Excess'!B$8:B$127,'05 Factors'!C$8:C$127,TRUE,TRUE),5,2)/INDEX(LINEST('07 Excess'!B$8:B$127,'05 Factors'!C$8:C$127,TRUE,TRUE),4,2)</f>
        <v>2.0298776032398925E-2</v>
      </c>
      <c r="F8" s="19">
        <f>COUNT('07 Excess'!B$8:B$127)</f>
        <v>120</v>
      </c>
      <c r="G8" s="7">
        <f>INDEX(LINEST('07 Excess'!B$8:B$127,'05 Factors'!C$8:C$127,TRUE,TRUE),2,2)</f>
        <v>1.3370987805521517E-2</v>
      </c>
    </row>
    <row r="9" spans="1:11" x14ac:dyDescent="0.3">
      <c r="A9" s="2" t="s">
        <v>132</v>
      </c>
      <c r="B9" s="7">
        <f>INDEX(LINEST('07 Excess'!C$8:C$127,'05 Factors'!C$8:C$127,TRUE,TRUE),1,2)</f>
        <v>4.5510006113203827E-3</v>
      </c>
      <c r="C9" s="17">
        <f>INDEX(LINEST('07 Excess'!C$8:C$127,'05 Factors'!C$8:C$127,TRUE,TRUE),1,1)</f>
        <v>1.2494012539304402</v>
      </c>
      <c r="D9" s="17">
        <f>INDEX(LINEST('07 Excess'!C$8:C$127,'05 Factors'!C$8:C$127,TRUE,TRUE),3,1)</f>
        <v>0.4320099898765844</v>
      </c>
      <c r="E9" s="18">
        <f>INDEX(LINEST('07 Excess'!C$8:C$127,'05 Factors'!C$8:C$127,TRUE,TRUE),5,2)/INDEX(LINEST('07 Excess'!C$8:C$127,'05 Factors'!C$8:C$127,TRUE,TRUE),4,2)</f>
        <v>4.2716791892989494E-3</v>
      </c>
      <c r="F9" s="19">
        <f>COUNT('07 Excess'!C$8:C$127)</f>
        <v>120</v>
      </c>
      <c r="G9" s="7">
        <f>INDEX(LINEST('07 Excess'!C$8:C$127,'05 Factors'!C$8:C$127,TRUE,TRUE),2,2)</f>
        <v>6.1337755681056417E-3</v>
      </c>
    </row>
    <row r="10" spans="1:11" x14ac:dyDescent="0.3">
      <c r="A10" s="2" t="s">
        <v>133</v>
      </c>
      <c r="B10" s="7">
        <f>INDEX(LINEST('07 Excess'!D$8:D$127,'05 Factors'!C$8:C$127,TRUE,TRUE),1,2)</f>
        <v>-7.7380798589552335E-3</v>
      </c>
      <c r="C10" s="17">
        <f>INDEX(LINEST('07 Excess'!D$8:D$127,'05 Factors'!C$8:C$127,TRUE,TRUE),1,1)</f>
        <v>1.4119350404570856</v>
      </c>
      <c r="D10" s="17">
        <f>INDEX(LINEST('07 Excess'!D$8:D$127,'05 Factors'!C$8:C$127,TRUE,TRUE),3,1)</f>
        <v>0.39060820297708893</v>
      </c>
      <c r="E10" s="18">
        <f>INDEX(LINEST('07 Excess'!D$8:D$127,'05 Factors'!C$8:C$127,TRUE,TRUE),5,2)/INDEX(LINEST('07 Excess'!D$8:D$127,'05 Factors'!C$8:C$127,TRUE,TRUE),4,2)</f>
        <v>6.4734011930356059E-3</v>
      </c>
      <c r="F10" s="19">
        <f>COUNT('07 Excess'!D$8:D$127)</f>
        <v>120</v>
      </c>
      <c r="G10" s="7">
        <f>INDEX(LINEST('07 Excess'!D$8:D$127,'05 Factors'!C$8:C$127,TRUE,TRUE),2,2)</f>
        <v>7.5508323637883375E-3</v>
      </c>
    </row>
    <row r="11" spans="1:11" x14ac:dyDescent="0.3">
      <c r="A11" s="2" t="s">
        <v>134</v>
      </c>
      <c r="B11" s="7">
        <f>INDEX(LINEST('07 Excess'!E$8:E$127,'05 Factors'!C$8:C$127,TRUE,TRUE),1,2)</f>
        <v>4.0838570199503103E-3</v>
      </c>
      <c r="C11" s="17">
        <f>INDEX(LINEST('07 Excess'!E$8:E$127,'05 Factors'!C$8:C$127,TRUE,TRUE),1,1)</f>
        <v>1.1298103975659417</v>
      </c>
      <c r="D11" s="17">
        <f>INDEX(LINEST('07 Excess'!E$8:E$127,'05 Factors'!C$8:C$127,TRUE,TRUE),3,1)</f>
        <v>0.53731142628612971</v>
      </c>
      <c r="E11" s="18">
        <f>INDEX(LINEST('07 Excess'!E$8:E$127,'05 Factors'!C$8:C$127,TRUE,TRUE),5,2)/INDEX(LINEST('07 Excess'!E$8:E$127,'05 Factors'!C$8:C$127,TRUE,TRUE),4,2)</f>
        <v>2.2878190873275531E-3</v>
      </c>
      <c r="F11" s="19">
        <f>COUNT('07 Excess'!E$8:E$127)</f>
        <v>120</v>
      </c>
      <c r="G11" s="7">
        <f>INDEX(LINEST('07 Excess'!E$8:E$127,'05 Factors'!C$8:C$127,TRUE,TRUE),2,2)</f>
        <v>4.4888945805598851E-3</v>
      </c>
    </row>
    <row r="12" spans="1:11" x14ac:dyDescent="0.3">
      <c r="A12" s="2" t="s">
        <v>135</v>
      </c>
      <c r="B12" s="7">
        <f>INDEX(LINEST('07 Excess'!F$8:F$127,'05 Factors'!C$8:C$127,TRUE,TRUE),1,2)</f>
        <v>3.4336039468368142E-2</v>
      </c>
      <c r="C12" s="17">
        <f>INDEX(LINEST('07 Excess'!F$8:F$127,'05 Factors'!C$8:C$127,TRUE,TRUE),1,1)</f>
        <v>1.8007267910891385</v>
      </c>
      <c r="D12" s="17">
        <f>INDEX(LINEST('07 Excess'!F$8:F$127,'05 Factors'!C$8:C$127,TRUE,TRUE),3,1)</f>
        <v>0.35651823890512119</v>
      </c>
      <c r="E12" s="18">
        <f>INDEX(LINEST('07 Excess'!F$8:F$127,'05 Factors'!C$8:C$127,TRUE,TRUE),5,2)/INDEX(LINEST('07 Excess'!F$8:F$127,'05 Factors'!C$8:C$127,TRUE,TRUE),4,2)</f>
        <v>1.2181421966405008E-2</v>
      </c>
      <c r="F12" s="19">
        <f>COUNT('07 Excess'!F$8:F$127)</f>
        <v>120</v>
      </c>
      <c r="G12" s="7">
        <f>INDEX(LINEST('07 Excess'!F$8:F$127,'05 Factors'!C$8:C$127,TRUE,TRUE),2,2)</f>
        <v>1.03580394457222E-2</v>
      </c>
    </row>
    <row r="13" spans="1:11" x14ac:dyDescent="0.3">
      <c r="A13" s="2" t="s">
        <v>136</v>
      </c>
      <c r="B13" s="7">
        <f>INDEX(LINEST('07 Excess'!G$8:G$127,'05 Factors'!C$8:C$127,TRUE,TRUE),1,2)</f>
        <v>-3.6443401739249511E-3</v>
      </c>
      <c r="C13" s="17">
        <f>INDEX(LINEST('07 Excess'!G$8:G$127,'05 Factors'!C$8:C$127,TRUE,TRUE),1,1)</f>
        <v>0.53846743939197306</v>
      </c>
      <c r="D13" s="17">
        <f>INDEX(LINEST('07 Excess'!G$8:G$127,'05 Factors'!C$8:C$127,TRUE,TRUE),3,1)</f>
        <v>0.14019324679988346</v>
      </c>
      <c r="E13" s="18">
        <f>INDEX(LINEST('07 Excess'!G$8:G$127,'05 Factors'!C$8:C$127,TRUE,TRUE),5,2)/INDEX(LINEST('07 Excess'!G$8:G$127,'05 Factors'!C$8:C$127,TRUE,TRUE),4,2)</f>
        <v>3.7011824857918203E-3</v>
      </c>
      <c r="F13" s="19">
        <f>COUNT('07 Excess'!G$8:G$127)</f>
        <v>120</v>
      </c>
      <c r="G13" s="7">
        <f>INDEX(LINEST('07 Excess'!G$8:G$127,'05 Factors'!C$8:C$127,TRUE,TRUE),2,2)</f>
        <v>5.7095097119053339E-3</v>
      </c>
    </row>
    <row r="14" spans="1:11" x14ac:dyDescent="0.3">
      <c r="A14" s="2" t="s">
        <v>137</v>
      </c>
      <c r="B14" s="7">
        <f>INDEX(LINEST('07 Excess'!H$8:H$127,'05 Factors'!C$8:C$127,TRUE,TRUE),1,2)</f>
        <v>-3.8504864071680443E-3</v>
      </c>
      <c r="C14" s="17">
        <f>INDEX(LINEST('07 Excess'!H$8:H$127,'05 Factors'!C$8:C$127,TRUE,TRUE),1,1)</f>
        <v>1.0197781985134255</v>
      </c>
      <c r="D14" s="17">
        <f>INDEX(LINEST('07 Excess'!H$8:H$127,'05 Factors'!C$8:C$127,TRUE,TRUE),3,1)</f>
        <v>0.26929858935575302</v>
      </c>
      <c r="E14" s="18">
        <f>INDEX(LINEST('07 Excess'!H$8:H$127,'05 Factors'!C$8:C$127,TRUE,TRUE),5,2)/INDEX(LINEST('07 Excess'!H$8:H$127,'05 Factors'!C$8:C$127,TRUE,TRUE),4,2)</f>
        <v>5.8730697647955939E-3</v>
      </c>
      <c r="F14" s="19">
        <f>COUNT('07 Excess'!H$8:H$127)</f>
        <v>120</v>
      </c>
      <c r="G14" s="7">
        <f>INDEX(LINEST('07 Excess'!H$8:H$127,'05 Factors'!C$8:C$127,TRUE,TRUE),2,2)</f>
        <v>7.1921899145303168E-3</v>
      </c>
    </row>
    <row r="15" spans="1:11" x14ac:dyDescent="0.3">
      <c r="A15" s="2" t="s">
        <v>138</v>
      </c>
      <c r="B15" s="7">
        <f>INDEX(LINEST('07 Excess'!I$8:I$127,'05 Factors'!C$8:C$127,TRUE,TRUE),1,2)</f>
        <v>-5.6273832522830969E-4</v>
      </c>
      <c r="C15" s="17">
        <f>INDEX(LINEST('07 Excess'!I$8:I$127,'05 Factors'!C$8:C$127,TRUE,TRUE),1,1)</f>
        <v>0.84619421276859452</v>
      </c>
      <c r="D15" s="17">
        <f>INDEX(LINEST('07 Excess'!I$8:I$127,'05 Factors'!C$8:C$127,TRUE,TRUE),3,1)</f>
        <v>0.23954680801538861</v>
      </c>
      <c r="E15" s="18">
        <f>INDEX(LINEST('07 Excess'!I$8:I$127,'05 Factors'!C$8:C$127,TRUE,TRUE),5,2)/INDEX(LINEST('07 Excess'!I$8:I$127,'05 Factors'!C$8:C$127,TRUE,TRUE),4,2)</f>
        <v>4.7311862700480968E-3</v>
      </c>
      <c r="F15" s="19">
        <f>COUNT('07 Excess'!I$8:I$127)</f>
        <v>120</v>
      </c>
      <c r="G15" s="7">
        <f>INDEX(LINEST('07 Excess'!I$8:I$127,'05 Factors'!C$8:C$127,TRUE,TRUE),2,2)</f>
        <v>6.4552577871811439E-3</v>
      </c>
    </row>
    <row r="16" spans="1:11" x14ac:dyDescent="0.3">
      <c r="A16" s="2" t="s">
        <v>139</v>
      </c>
      <c r="B16" s="7">
        <f>INDEX(LINEST('07 Excess'!J$8:J$127,'05 Factors'!C$8:C$127,TRUE,TRUE),1,2)</f>
        <v>1.0148405070804049E-2</v>
      </c>
      <c r="C16" s="17">
        <f>INDEX(LINEST('07 Excess'!J$8:J$127,'05 Factors'!C$8:C$127,TRUE,TRUE),1,1)</f>
        <v>0.49034543498597377</v>
      </c>
      <c r="D16" s="17">
        <f>INDEX(LINEST('07 Excess'!J$8:J$127,'05 Factors'!C$8:C$127,TRUE,TRUE),3,1)</f>
        <v>0.17587425207516647</v>
      </c>
      <c r="E16" s="18">
        <f>INDEX(LINEST('07 Excess'!J$8:J$127,'05 Factors'!C$8:C$127,TRUE,TRUE),5,2)/INDEX(LINEST('07 Excess'!J$8:J$127,'05 Factors'!C$8:C$127,TRUE,TRUE),4,2)</f>
        <v>2.3450026538036871E-3</v>
      </c>
      <c r="F16" s="19">
        <f>COUNT('07 Excess'!J$8:J$127)</f>
        <v>120</v>
      </c>
      <c r="G16" s="7">
        <f>INDEX(LINEST('07 Excess'!J$8:J$127,'05 Factors'!C$8:C$127,TRUE,TRUE),2,2)</f>
        <v>4.5446478427518923E-3</v>
      </c>
    </row>
    <row r="17" spans="1:11" x14ac:dyDescent="0.3">
      <c r="A17" s="2" t="s">
        <v>140</v>
      </c>
      <c r="B17" s="7">
        <f>INDEX(LINEST('07 Excess'!K$8:K$127,'05 Factors'!C$8:C$127,TRUE,TRUE),1,2)</f>
        <v>-5.9161137903472778E-4</v>
      </c>
      <c r="C17" s="17">
        <f>INDEX(LINEST('07 Excess'!K$8:K$127,'05 Factors'!C$8:C$127,TRUE,TRUE),1,1)</f>
        <v>0.32310943766770839</v>
      </c>
      <c r="D17" s="17">
        <f>INDEX(LINEST('07 Excess'!K$8:K$127,'05 Factors'!C$8:C$127,TRUE,TRUE),3,1)</f>
        <v>7.9947157968289093E-2</v>
      </c>
      <c r="E17" s="18">
        <f>INDEX(LINEST('07 Excess'!K$8:K$127,'05 Factors'!C$8:C$127,TRUE,TRUE),5,2)/INDEX(LINEST('07 Excess'!K$8:K$127,'05 Factors'!C$8:C$127,TRUE,TRUE),4,2)</f>
        <v>2.5006728256066566E-3</v>
      </c>
      <c r="F17" s="19">
        <f>COUNT('07 Excess'!K$8:K$127)</f>
        <v>120</v>
      </c>
      <c r="G17" s="7">
        <f>INDEX(LINEST('07 Excess'!K$8:K$127,'05 Factors'!C$8:C$127,TRUE,TRUE),2,2)</f>
        <v>4.6930696992383385E-3</v>
      </c>
    </row>
    <row r="21" spans="1:11" ht="25.95" customHeight="1" x14ac:dyDescent="0.3">
      <c r="A21" s="25" t="s">
        <v>82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30" customHeight="1" x14ac:dyDescent="0.3">
      <c r="A22" s="21" t="s">
        <v>170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30" customHeight="1" x14ac:dyDescent="0.3">
      <c r="A23" s="21" t="s">
        <v>171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30" customHeight="1" x14ac:dyDescent="0.3">
      <c r="A24" s="21" t="s">
        <v>172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30" customHeight="1" x14ac:dyDescent="0.3">
      <c r="A25" s="21" t="s">
        <v>173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30" customHeight="1" x14ac:dyDescent="0.3">
      <c r="A26" s="21" t="s">
        <v>174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30" customHeight="1" x14ac:dyDescent="0.3">
      <c r="A27" s="21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30" customHeight="1" x14ac:dyDescent="0.3">
      <c r="A28" s="21" t="s">
        <v>176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</row>
  </sheetData>
  <mergeCells count="10">
    <mergeCell ref="A28:K28"/>
    <mergeCell ref="A1:K1"/>
    <mergeCell ref="A23:K23"/>
    <mergeCell ref="A27:K27"/>
    <mergeCell ref="A22:K22"/>
    <mergeCell ref="A3:K3"/>
    <mergeCell ref="A21:K21"/>
    <mergeCell ref="A26:K26"/>
    <mergeCell ref="A25:K25"/>
    <mergeCell ref="A24:K24"/>
  </mergeCells>
  <hyperlinks>
    <hyperlink ref="A2" location="'00 Start'!A1" display="Back to guide" xr:uid="{00000000-0004-0000-0800-000000000000}"/>
  </hyperlinks>
  <printOptions horizontalCentered="1"/>
  <pageMargins left="0.25" right="0.25" top="0.35" bottom="0.35" header="0.5" footer="0.5"/>
  <pageSetup paperSize="9" fitToHeight="0" orientation="landscape"/>
  <headerFooter>
    <oddFooter>&amp;CBFIN | &amp;A |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68B80"/>
    <pageSetUpPr fitToPage="1"/>
  </sheetPr>
  <dimension ref="A1:K28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14" width="13" customWidth="1"/>
  </cols>
  <sheetData>
    <row r="1" spans="1:11" ht="25.95" customHeight="1" x14ac:dyDescent="0.3">
      <c r="A1" s="24" t="s">
        <v>177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5.6" x14ac:dyDescent="0.3">
      <c r="A2" s="1" t="s">
        <v>55</v>
      </c>
    </row>
    <row r="3" spans="1:11" ht="42" customHeight="1" x14ac:dyDescent="0.3">
      <c r="A3" s="21" t="s">
        <v>163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7" spans="1:11" ht="34.049999999999997" customHeight="1" x14ac:dyDescent="0.3">
      <c r="A7" s="4" t="s">
        <v>164</v>
      </c>
      <c r="B7" s="4" t="s">
        <v>80</v>
      </c>
      <c r="C7" s="4" t="s">
        <v>165</v>
      </c>
      <c r="D7" s="4" t="s">
        <v>74</v>
      </c>
      <c r="E7" s="4" t="s">
        <v>75</v>
      </c>
      <c r="F7" s="4" t="s">
        <v>166</v>
      </c>
      <c r="G7" s="4" t="s">
        <v>167</v>
      </c>
      <c r="H7" s="4" t="s">
        <v>168</v>
      </c>
      <c r="I7" s="4" t="s">
        <v>169</v>
      </c>
    </row>
    <row r="8" spans="1:11" x14ac:dyDescent="0.3">
      <c r="A8" s="2" t="s">
        <v>131</v>
      </c>
      <c r="B8" s="7">
        <f>INDEX(LINEST('07 Excess'!B$8:B$127,'05 Factors'!C$8:E$127,TRUE,TRUE),1,4)</f>
        <v>2.493562922748415E-2</v>
      </c>
      <c r="C8" s="17">
        <f>INDEX(LINEST('07 Excess'!B$8:B$127,'05 Factors'!C$8:E$127,TRUE,TRUE),1,3)</f>
        <v>2.092031512430458</v>
      </c>
      <c r="D8" s="17">
        <f>INDEX(LINEST('07 Excess'!B$8:B$127,'05 Factors'!C$8:E$127,TRUE,TRUE),1,2)</f>
        <v>-0.19720562060086402</v>
      </c>
      <c r="E8" s="17">
        <f>INDEX(LINEST('07 Excess'!B$8:B$127,'05 Factors'!C$8:E$127,TRUE,TRUE),1,1)</f>
        <v>-1.0142848846488453</v>
      </c>
      <c r="F8" s="17">
        <f>INDEX(LINEST('07 Excess'!B$8:B$127,'05 Factors'!C$8:E$127,TRUE,TRUE),3,1)</f>
        <v>0.35503186266852454</v>
      </c>
      <c r="G8" s="18">
        <f>INDEX(LINEST('07 Excess'!B$8:B$127,'05 Factors'!C$8:E$127,TRUE,TRUE),5,2)/INDEX(LINEST('07 Excess'!B$8:B$127,'05 Factors'!C$8:E$127,TRUE,TRUE),4,2)</f>
        <v>1.9020745270507119E-2</v>
      </c>
      <c r="H8" s="19">
        <f>COUNT('07 Excess'!B$8:B$127)</f>
        <v>120</v>
      </c>
      <c r="I8" s="7">
        <f>INDEX(LINEST('07 Excess'!B$8:B$127,'05 Factors'!C$8:E$127,TRUE,TRUE),2,4)</f>
        <v>1.3083288804936793E-2</v>
      </c>
    </row>
    <row r="9" spans="1:11" x14ac:dyDescent="0.3">
      <c r="A9" s="2" t="s">
        <v>132</v>
      </c>
      <c r="B9" s="7">
        <f>INDEX(LINEST('07 Excess'!C$8:C$127,'05 Factors'!C$8:E$127,TRUE,TRUE),1,4)</f>
        <v>3.8911084928721336E-3</v>
      </c>
      <c r="C9" s="17">
        <f>INDEX(LINEST('07 Excess'!C$8:C$127,'05 Factors'!C$8:E$127,TRUE,TRUE),1,3)</f>
        <v>1.2669865730919141</v>
      </c>
      <c r="D9" s="17">
        <f>INDEX(LINEST('07 Excess'!C$8:C$127,'05 Factors'!C$8:E$127,TRUE,TRUE),1,2)</f>
        <v>-4.939074525795234E-2</v>
      </c>
      <c r="E9" s="17">
        <f>INDEX(LINEST('07 Excess'!C$8:C$127,'05 Factors'!C$8:E$127,TRUE,TRUE),1,1)</f>
        <v>-0.93858831199831694</v>
      </c>
      <c r="F9" s="17">
        <f>INDEX(LINEST('07 Excess'!C$8:C$127,'05 Factors'!C$8:E$127,TRUE,TRUE),3,1)</f>
        <v>0.60844056063318852</v>
      </c>
      <c r="G9" s="18">
        <f>INDEX(LINEST('07 Excess'!C$8:C$127,'05 Factors'!C$8:E$127,TRUE,TRUE),5,2)/INDEX(LINEST('07 Excess'!C$8:C$127,'05 Factors'!C$8:E$127,TRUE,TRUE),4,2)</f>
        <v>2.9955712079564184E-3</v>
      </c>
      <c r="H9" s="19">
        <f>COUNT('07 Excess'!C$8:C$127)</f>
        <v>120</v>
      </c>
      <c r="I9" s="7">
        <f>INDEX(LINEST('07 Excess'!C$8:C$127,'05 Factors'!C$8:E$127,TRUE,TRUE),2,4)</f>
        <v>5.1920992705657152E-3</v>
      </c>
    </row>
    <row r="10" spans="1:11" x14ac:dyDescent="0.3">
      <c r="A10" s="2" t="s">
        <v>133</v>
      </c>
      <c r="B10" s="7">
        <f>INDEX(LINEST('07 Excess'!D$8:D$127,'05 Factors'!C$8:E$127,TRUE,TRUE),1,4)</f>
        <v>-5.8614992482929063E-3</v>
      </c>
      <c r="C10" s="17">
        <f>INDEX(LINEST('07 Excess'!D$8:D$127,'05 Factors'!C$8:E$127,TRUE,TRUE),1,3)</f>
        <v>1.3241553848004384</v>
      </c>
      <c r="D10" s="17">
        <f>INDEX(LINEST('07 Excess'!D$8:D$127,'05 Factors'!C$8:E$127,TRUE,TRUE),1,2)</f>
        <v>0.40754900588236798</v>
      </c>
      <c r="E10" s="17">
        <f>INDEX(LINEST('07 Excess'!D$8:D$127,'05 Factors'!C$8:E$127,TRUE,TRUE),1,1)</f>
        <v>0.5500424231652179</v>
      </c>
      <c r="F10" s="17">
        <f>INDEX(LINEST('07 Excess'!D$8:D$127,'05 Factors'!C$8:E$127,TRUE,TRUE),3,1)</f>
        <v>0.44767969770177618</v>
      </c>
      <c r="G10" s="18">
        <f>INDEX(LINEST('07 Excess'!D$8:D$127,'05 Factors'!C$8:E$127,TRUE,TRUE),5,2)/INDEX(LINEST('07 Excess'!D$8:D$127,'05 Factors'!C$8:E$127,TRUE,TRUE),4,2)</f>
        <v>5.9683041228304323E-3</v>
      </c>
      <c r="H10" s="19">
        <f>COUNT('07 Excess'!D$8:D$127)</f>
        <v>120</v>
      </c>
      <c r="I10" s="7">
        <f>INDEX(LINEST('07 Excess'!D$8:D$127,'05 Factors'!C$8:E$127,TRUE,TRUE),2,4)</f>
        <v>7.3287285498168124E-3</v>
      </c>
    </row>
    <row r="11" spans="1:11" x14ac:dyDescent="0.3">
      <c r="A11" s="2" t="s">
        <v>134</v>
      </c>
      <c r="B11" s="7">
        <f>INDEX(LINEST('07 Excess'!E$8:E$127,'05 Factors'!C$8:E$127,TRUE,TRUE),1,4)</f>
        <v>4.6692892031383769E-3</v>
      </c>
      <c r="C11" s="17">
        <f>INDEX(LINEST('07 Excess'!E$8:E$127,'05 Factors'!C$8:E$127,TRUE,TRUE),1,3)</f>
        <v>1.1140459854790041</v>
      </c>
      <c r="D11" s="17">
        <f>INDEX(LINEST('07 Excess'!E$8:E$127,'05 Factors'!C$8:E$127,TRUE,TRUE),1,2)</f>
        <v>4.4972838555735577E-2</v>
      </c>
      <c r="E11" s="17">
        <f>INDEX(LINEST('07 Excess'!E$8:E$127,'05 Factors'!C$8:E$127,TRUE,TRUE),1,1)</f>
        <v>0.82351625487859215</v>
      </c>
      <c r="F11" s="17">
        <f>INDEX(LINEST('07 Excess'!E$8:E$127,'05 Factors'!C$8:E$127,TRUE,TRUE),3,1)</f>
        <v>0.74396265077435109</v>
      </c>
      <c r="G11" s="18">
        <f>INDEX(LINEST('07 Excess'!E$8:E$127,'05 Factors'!C$8:E$127,TRUE,TRUE),5,2)/INDEX(LINEST('07 Excess'!E$8:E$127,'05 Factors'!C$8:E$127,TRUE,TRUE),4,2)</f>
        <v>1.2878350619294075E-3</v>
      </c>
      <c r="H11" s="19">
        <f>COUNT('07 Excess'!E$8:E$127)</f>
        <v>120</v>
      </c>
      <c r="I11" s="7">
        <f>INDEX(LINEST('07 Excess'!E$8:E$127,'05 Factors'!C$8:E$127,TRUE,TRUE),2,4)</f>
        <v>3.4043428084083228E-3</v>
      </c>
    </row>
    <row r="12" spans="1:11" x14ac:dyDescent="0.3">
      <c r="A12" s="2" t="s">
        <v>135</v>
      </c>
      <c r="B12" s="7">
        <f>INDEX(LINEST('07 Excess'!F$8:F$127,'05 Factors'!C$8:E$127,TRUE,TRUE),1,4)</f>
        <v>3.2944033862372497E-2</v>
      </c>
      <c r="C12" s="17">
        <f>INDEX(LINEST('07 Excess'!F$8:F$127,'05 Factors'!C$8:E$127,TRUE,TRUE),1,3)</f>
        <v>1.8544483919612726</v>
      </c>
      <c r="D12" s="17">
        <f>INDEX(LINEST('07 Excess'!F$8:F$127,'05 Factors'!C$8:E$127,TRUE,TRUE),1,2)</f>
        <v>-0.22175806210069179</v>
      </c>
      <c r="E12" s="17">
        <f>INDEX(LINEST('07 Excess'!F$8:F$127,'05 Factors'!C$8:E$127,TRUE,TRUE),1,1)</f>
        <v>-1.0471048163153087</v>
      </c>
      <c r="F12" s="17">
        <f>INDEX(LINEST('07 Excess'!F$8:F$127,'05 Factors'!C$8:E$127,TRUE,TRUE),3,1)</f>
        <v>0.44707975031495928</v>
      </c>
      <c r="G12" s="18">
        <f>INDEX(LINEST('07 Excess'!F$8:F$127,'05 Factors'!C$8:E$127,TRUE,TRUE),5,2)/INDEX(LINEST('07 Excess'!F$8:F$127,'05 Factors'!C$8:E$127,TRUE,TRUE),4,2)</f>
        <v>1.0647514968751525E-2</v>
      </c>
      <c r="H12" s="19">
        <f>COUNT('07 Excess'!F$8:F$127)</f>
        <v>120</v>
      </c>
      <c r="I12" s="7">
        <f>INDEX(LINEST('07 Excess'!F$8:F$127,'05 Factors'!C$8:E$127,TRUE,TRUE),2,4)</f>
        <v>9.788751266898689E-3</v>
      </c>
    </row>
    <row r="13" spans="1:11" x14ac:dyDescent="0.3">
      <c r="A13" s="2" t="s">
        <v>136</v>
      </c>
      <c r="B13" s="7">
        <f>INDEX(LINEST('07 Excess'!G$8:G$127,'05 Factors'!C$8:E$127,TRUE,TRUE),1,4)</f>
        <v>-4.7813120720336475E-3</v>
      </c>
      <c r="C13" s="17">
        <f>INDEX(LINEST('07 Excess'!G$8:G$127,'05 Factors'!C$8:E$127,TRUE,TRUE),1,3)</f>
        <v>0.59981781313184557</v>
      </c>
      <c r="D13" s="17">
        <f>INDEX(LINEST('07 Excess'!G$8:G$127,'05 Factors'!C$8:E$127,TRUE,TRUE),1,2)</f>
        <v>-0.30467488454201697</v>
      </c>
      <c r="E13" s="17">
        <f>INDEX(LINEST('07 Excess'!G$8:G$127,'05 Factors'!C$8:E$127,TRUE,TRUE),1,1)</f>
        <v>0.12493653119047284</v>
      </c>
      <c r="F13" s="17">
        <f>INDEX(LINEST('07 Excess'!G$8:G$127,'05 Factors'!C$8:E$127,TRUE,TRUE),3,1)</f>
        <v>0.15879094195791074</v>
      </c>
      <c r="G13" s="18">
        <f>INDEX(LINEST('07 Excess'!G$8:G$127,'05 Factors'!C$8:E$127,TRUE,TRUE),5,2)/INDEX(LINEST('07 Excess'!G$8:G$127,'05 Factors'!C$8:E$127,TRUE,TRUE),4,2)</f>
        <v>3.6835587851508432E-3</v>
      </c>
      <c r="H13" s="19">
        <f>COUNT('07 Excess'!G$8:G$127)</f>
        <v>120</v>
      </c>
      <c r="I13" s="7">
        <f>INDEX(LINEST('07 Excess'!G$8:G$127,'05 Factors'!C$8:E$127,TRUE,TRUE),2,4)</f>
        <v>5.757540029124467E-3</v>
      </c>
    </row>
    <row r="14" spans="1:11" x14ac:dyDescent="0.3">
      <c r="A14" s="2" t="s">
        <v>137</v>
      </c>
      <c r="B14" s="7">
        <f>INDEX(LINEST('07 Excess'!H$8:H$127,'05 Factors'!C$8:E$127,TRUE,TRUE),1,4)</f>
        <v>-3.7732116668649299E-3</v>
      </c>
      <c r="C14" s="17">
        <f>INDEX(LINEST('07 Excess'!H$8:H$127,'05 Factors'!C$8:E$127,TRUE,TRUE),1,3)</f>
        <v>1.0146258041869398</v>
      </c>
      <c r="D14" s="17">
        <f>INDEX(LINEST('07 Excess'!H$8:H$127,'05 Factors'!C$8:E$127,TRUE,TRUE),1,2)</f>
        <v>2.7656325219092212E-2</v>
      </c>
      <c r="E14" s="17">
        <f>INDEX(LINEST('07 Excess'!H$8:H$127,'05 Factors'!C$8:E$127,TRUE,TRUE),1,1)</f>
        <v>-6.3623732545808331E-2</v>
      </c>
      <c r="F14" s="17">
        <f>INDEX(LINEST('07 Excess'!H$8:H$127,'05 Factors'!C$8:E$127,TRUE,TRUE),3,1)</f>
        <v>0.27007728085223215</v>
      </c>
      <c r="G14" s="18">
        <f>INDEX(LINEST('07 Excess'!H$8:H$127,'05 Factors'!C$8:E$127,TRUE,TRUE),5,2)/INDEX(LINEST('07 Excess'!H$8:H$127,'05 Factors'!C$8:E$127,TRUE,TRUE),4,2)</f>
        <v>5.9679628842531449E-3</v>
      </c>
      <c r="H14" s="19">
        <f>COUNT('07 Excess'!H$8:H$127)</f>
        <v>120</v>
      </c>
      <c r="I14" s="7">
        <f>INDEX(LINEST('07 Excess'!H$8:H$127,'05 Factors'!C$8:E$127,TRUE,TRUE),2,4)</f>
        <v>7.3285190363101479E-3</v>
      </c>
    </row>
    <row r="15" spans="1:11" x14ac:dyDescent="0.3">
      <c r="A15" s="2" t="s">
        <v>138</v>
      </c>
      <c r="B15" s="7">
        <f>INDEX(LINEST('07 Excess'!I$8:I$127,'05 Factors'!C$8:E$127,TRUE,TRUE),1,4)</f>
        <v>-2.5703587647022265E-5</v>
      </c>
      <c r="C15" s="17">
        <f>INDEX(LINEST('07 Excess'!I$8:I$127,'05 Factors'!C$8:E$127,TRUE,TRUE),1,3)</f>
        <v>0.83669035773409628</v>
      </c>
      <c r="D15" s="17">
        <f>INDEX(LINEST('07 Excess'!I$8:I$127,'05 Factors'!C$8:E$127,TRUE,TRUE),1,2)</f>
        <v>6.1999245130422145E-3</v>
      </c>
      <c r="E15" s="17">
        <f>INDEX(LINEST('07 Excess'!I$8:I$127,'05 Factors'!C$8:E$127,TRUE,TRUE),1,1)</f>
        <v>1.0335589734852346</v>
      </c>
      <c r="F15" s="17">
        <f>INDEX(LINEST('07 Excess'!I$8:I$127,'05 Factors'!C$8:E$127,TRUE,TRUE),3,1)</f>
        <v>0.49640305942219815</v>
      </c>
      <c r="G15" s="18">
        <f>INDEX(LINEST('07 Excess'!I$8:I$127,'05 Factors'!C$8:E$127,TRUE,TRUE),5,2)/INDEX(LINEST('07 Excess'!I$8:I$127,'05 Factors'!C$8:E$127,TRUE,TRUE),4,2)</f>
        <v>3.1871658311845037E-3</v>
      </c>
      <c r="H15" s="19">
        <f>COUNT('07 Excess'!I$8:I$127)</f>
        <v>120</v>
      </c>
      <c r="I15" s="7">
        <f>INDEX(LINEST('07 Excess'!I$8:I$127,'05 Factors'!C$8:E$127,TRUE,TRUE),2,4)</f>
        <v>5.355567457288676E-3</v>
      </c>
    </row>
    <row r="16" spans="1:11" x14ac:dyDescent="0.3">
      <c r="A16" s="2" t="s">
        <v>139</v>
      </c>
      <c r="B16" s="7">
        <f>INDEX(LINEST('07 Excess'!J$8:J$127,'05 Factors'!C$8:E$127,TRUE,TRUE),1,4)</f>
        <v>7.9811432934005187E-3</v>
      </c>
      <c r="C16" s="17">
        <f>INDEX(LINEST('07 Excess'!J$8:J$127,'05 Factors'!C$8:E$127,TRUE,TRUE),1,3)</f>
        <v>0.60032001917261202</v>
      </c>
      <c r="D16" s="17">
        <f>INDEX(LINEST('07 Excess'!J$8:J$127,'05 Factors'!C$8:E$127,TRUE,TRUE),1,2)</f>
        <v>-0.53147710703662143</v>
      </c>
      <c r="E16" s="17">
        <f>INDEX(LINEST('07 Excess'!J$8:J$127,'05 Factors'!C$8:E$127,TRUE,TRUE),1,1)</f>
        <v>-0.15287139695773533</v>
      </c>
      <c r="F16" s="17">
        <f>INDEX(LINEST('07 Excess'!J$8:J$127,'05 Factors'!C$8:E$127,TRUE,TRUE),3,1)</f>
        <v>0.26125263060449927</v>
      </c>
      <c r="G16" s="18">
        <f>INDEX(LINEST('07 Excess'!J$8:J$127,'05 Factors'!C$8:E$127,TRUE,TRUE),5,2)/INDEX(LINEST('07 Excess'!J$8:J$127,'05 Factors'!C$8:E$127,TRUE,TRUE),4,2)</f>
        <v>2.1383058353994151E-3</v>
      </c>
      <c r="H16" s="19">
        <f>COUNT('07 Excess'!J$8:J$127)</f>
        <v>120</v>
      </c>
      <c r="I16" s="7">
        <f>INDEX(LINEST('07 Excess'!J$8:J$127,'05 Factors'!C$8:E$127,TRUE,TRUE),2,4)</f>
        <v>4.3867014085346738E-3</v>
      </c>
    </row>
    <row r="17" spans="1:11" x14ac:dyDescent="0.3">
      <c r="A17" s="2" t="s">
        <v>140</v>
      </c>
      <c r="B17" s="7">
        <f>INDEX(LINEST('07 Excess'!K$8:K$127,'05 Factors'!C$8:E$127,TRUE,TRUE),1,4)</f>
        <v>-2.6962839123294258E-3</v>
      </c>
      <c r="C17" s="17">
        <f>INDEX(LINEST('07 Excess'!K$8:K$127,'05 Factors'!C$8:E$127,TRUE,TRUE),1,3)</f>
        <v>0.43713806088644003</v>
      </c>
      <c r="D17" s="17">
        <f>INDEX(LINEST('07 Excess'!K$8:K$127,'05 Factors'!C$8:E$127,TRUE,TRUE),1,2)</f>
        <v>-0.5672546332594024</v>
      </c>
      <c r="E17" s="17">
        <f>INDEX(LINEST('07 Excess'!K$8:K$127,'05 Factors'!C$8:E$127,TRUE,TRUE),1,1)</f>
        <v>0.25717329159682384</v>
      </c>
      <c r="F17" s="17">
        <f>INDEX(LINEST('07 Excess'!K$8:K$127,'05 Factors'!C$8:E$127,TRUE,TRUE),3,1)</f>
        <v>0.18774557388639646</v>
      </c>
      <c r="G17" s="18">
        <f>INDEX(LINEST('07 Excess'!K$8:K$127,'05 Factors'!C$8:E$127,TRUE,TRUE),5,2)/INDEX(LINEST('07 Excess'!K$8:K$127,'05 Factors'!C$8:E$127,TRUE,TRUE),4,2)</f>
        <v>2.2457437938576356E-3</v>
      </c>
      <c r="H17" s="19">
        <f>COUNT('07 Excess'!K$8:K$127)</f>
        <v>120</v>
      </c>
      <c r="I17" s="7">
        <f>INDEX(LINEST('07 Excess'!K$8:K$127,'05 Factors'!C$8:E$127,TRUE,TRUE),2,4)</f>
        <v>4.4955545062125958E-3</v>
      </c>
    </row>
    <row r="21" spans="1:11" ht="25.95" customHeight="1" x14ac:dyDescent="0.3">
      <c r="A21" s="25" t="s">
        <v>82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30" customHeight="1" x14ac:dyDescent="0.3">
      <c r="A22" s="21" t="s">
        <v>178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30" customHeight="1" x14ac:dyDescent="0.3">
      <c r="A23" s="21" t="s">
        <v>179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30" customHeight="1" x14ac:dyDescent="0.3">
      <c r="A24" s="21" t="s">
        <v>172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30" customHeight="1" x14ac:dyDescent="0.3">
      <c r="A25" s="21" t="s">
        <v>180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30" customHeight="1" x14ac:dyDescent="0.3">
      <c r="A26" s="21" t="s">
        <v>174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30" customHeight="1" x14ac:dyDescent="0.3">
      <c r="A27" s="21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30" customHeight="1" x14ac:dyDescent="0.3">
      <c r="A28" s="21" t="s">
        <v>176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</row>
  </sheetData>
  <mergeCells count="10">
    <mergeCell ref="A28:K28"/>
    <mergeCell ref="A1:K1"/>
    <mergeCell ref="A23:K23"/>
    <mergeCell ref="A27:K27"/>
    <mergeCell ref="A22:K22"/>
    <mergeCell ref="A3:K3"/>
    <mergeCell ref="A21:K21"/>
    <mergeCell ref="A26:K26"/>
    <mergeCell ref="A25:K25"/>
    <mergeCell ref="A24:K24"/>
  </mergeCells>
  <hyperlinks>
    <hyperlink ref="A2" location="'00 Start'!A1" display="Back to guide" xr:uid="{00000000-0004-0000-0900-000000000000}"/>
  </hyperlinks>
  <printOptions horizontalCentered="1"/>
  <pageMargins left="0.25" right="0.25" top="0.35" bottom="0.35" header="0.5" footer="0.5"/>
  <pageSetup paperSize="9" fitToHeight="0" orientation="landscape"/>
  <headerFooter>
    <oddFooter>&amp;CBFIN | &amp;A |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68B80"/>
    <pageSetUpPr fitToPage="1"/>
  </sheetPr>
  <dimension ref="A1:K28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14" width="13" customWidth="1"/>
  </cols>
  <sheetData>
    <row r="1" spans="1:11" ht="25.95" customHeight="1" x14ac:dyDescent="0.3">
      <c r="A1" s="24" t="s">
        <v>181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5.6" x14ac:dyDescent="0.3">
      <c r="A2" s="1" t="s">
        <v>55</v>
      </c>
    </row>
    <row r="3" spans="1:11" ht="42" customHeight="1" x14ac:dyDescent="0.3">
      <c r="A3" s="21" t="s">
        <v>163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7" spans="1:11" ht="34.049999999999997" customHeight="1" x14ac:dyDescent="0.3">
      <c r="A7" s="4" t="s">
        <v>164</v>
      </c>
      <c r="B7" s="4" t="s">
        <v>80</v>
      </c>
      <c r="C7" s="4" t="s">
        <v>165</v>
      </c>
      <c r="D7" s="4" t="s">
        <v>74</v>
      </c>
      <c r="E7" s="4" t="s">
        <v>75</v>
      </c>
      <c r="F7" s="4" t="s">
        <v>148</v>
      </c>
      <c r="G7" s="4" t="s">
        <v>166</v>
      </c>
      <c r="H7" s="4" t="s">
        <v>167</v>
      </c>
      <c r="I7" s="4" t="s">
        <v>168</v>
      </c>
      <c r="J7" s="4" t="s">
        <v>169</v>
      </c>
    </row>
    <row r="8" spans="1:11" x14ac:dyDescent="0.3">
      <c r="A8" s="2" t="s">
        <v>131</v>
      </c>
      <c r="B8" s="7">
        <f>INDEX(LINEST('07 Excess'!B$8:B$127,'05 Factors'!C$8:F$127,TRUE,TRUE),1,5)</f>
        <v>2.5168731126309272E-2</v>
      </c>
      <c r="C8" s="17">
        <f>INDEX(LINEST('07 Excess'!B$8:B$127,'05 Factors'!C$8:F$127,TRUE,TRUE),1,4)</f>
        <v>2.0658607954346664</v>
      </c>
      <c r="D8" s="17">
        <f>INDEX(LINEST('07 Excess'!B$8:B$127,'05 Factors'!C$8:F$127,TRUE,TRUE),1,3)</f>
        <v>-0.23655234787739057</v>
      </c>
      <c r="E8" s="17">
        <f>INDEX(LINEST('07 Excess'!B$8:B$127,'05 Factors'!C$8:F$127,TRUE,TRUE),1,2)</f>
        <v>-1.043657693140791</v>
      </c>
      <c r="F8" s="17">
        <f>INDEX(LINEST('07 Excess'!B$8:B$127,'05 Factors'!C$8:F$127,TRUE,TRUE),1,1)</f>
        <v>-0.10655989412361962</v>
      </c>
      <c r="G8" s="17">
        <f>INDEX(LINEST('07 Excess'!B$8:B$127,'05 Factors'!C$8:F$127,TRUE,TRUE),3,1)</f>
        <v>0.35544213826054866</v>
      </c>
      <c r="H8" s="18">
        <f>INDEX(LINEST('07 Excess'!B$8:B$127,'05 Factors'!C$8:F$127,TRUE,TRUE),5,2)/INDEX(LINEST('07 Excess'!B$8:B$127,'05 Factors'!C$8:F$127,TRUE,TRUE),4,2)</f>
        <v>1.9173938411943627E-2</v>
      </c>
      <c r="I8" s="19">
        <f>COUNT('07 Excess'!B$8:B$127)</f>
        <v>120</v>
      </c>
      <c r="J8" s="7">
        <f>INDEX(LINEST('07 Excess'!B$8:B$127,'05 Factors'!C$8:F$127,TRUE,TRUE),2,5)</f>
        <v>1.3164093979667486E-2</v>
      </c>
    </row>
    <row r="9" spans="1:11" x14ac:dyDescent="0.3">
      <c r="A9" s="2" t="s">
        <v>132</v>
      </c>
      <c r="B9" s="7">
        <f>INDEX(LINEST('07 Excess'!C$8:C$127,'05 Factors'!C$8:F$127,TRUE,TRUE),1,5)</f>
        <v>4.27015068395628E-3</v>
      </c>
      <c r="C9" s="17">
        <f>INDEX(LINEST('07 Excess'!C$8:C$127,'05 Factors'!C$8:F$127,TRUE,TRUE),1,4)</f>
        <v>1.2244309098290849</v>
      </c>
      <c r="D9" s="17">
        <f>INDEX(LINEST('07 Excess'!C$8:C$127,'05 Factors'!C$8:F$127,TRUE,TRUE),1,3)</f>
        <v>-0.11337164714701811</v>
      </c>
      <c r="E9" s="17">
        <f>INDEX(LINEST('07 Excess'!C$8:C$127,'05 Factors'!C$8:F$127,TRUE,TRUE),1,2)</f>
        <v>-0.98635083021544534</v>
      </c>
      <c r="F9" s="17">
        <f>INDEX(LINEST('07 Excess'!C$8:C$127,'05 Factors'!C$8:F$127,TRUE,TRUE),1,1)</f>
        <v>-0.17327484655375225</v>
      </c>
      <c r="G9" s="17">
        <f>INDEX(LINEST('07 Excess'!C$8:C$127,'05 Factors'!C$8:F$127,TRUE,TRUE),3,1)</f>
        <v>0.6126223917093444</v>
      </c>
      <c r="H9" s="18">
        <f>INDEX(LINEST('07 Excess'!C$8:C$127,'05 Factors'!C$8:F$127,TRUE,TRUE),5,2)/INDEX(LINEST('07 Excess'!C$8:C$127,'05 Factors'!C$8:F$127,TRUE,TRUE),4,2)</f>
        <v>2.9893489385165468E-3</v>
      </c>
      <c r="I9" s="19">
        <f>COUNT('07 Excess'!C$8:C$127)</f>
        <v>120</v>
      </c>
      <c r="J9" s="7">
        <f>INDEX(LINEST('07 Excess'!C$8:C$127,'05 Factors'!C$8:F$127,TRUE,TRUE),2,5)</f>
        <v>5.1978484876428034E-3</v>
      </c>
    </row>
    <row r="10" spans="1:11" x14ac:dyDescent="0.3">
      <c r="A10" s="2" t="s">
        <v>133</v>
      </c>
      <c r="B10" s="7">
        <f>INDEX(LINEST('07 Excess'!D$8:D$127,'05 Factors'!C$8:F$127,TRUE,TRUE),1,5)</f>
        <v>-5.357273263560787E-3</v>
      </c>
      <c r="C10" s="17">
        <f>INDEX(LINEST('07 Excess'!D$8:D$127,'05 Factors'!C$8:F$127,TRUE,TRUE),1,4)</f>
        <v>1.2675451400325544</v>
      </c>
      <c r="D10" s="17">
        <f>INDEX(LINEST('07 Excess'!D$8:D$127,'05 Factors'!C$8:F$127,TRUE,TRUE),1,3)</f>
        <v>0.32243754858841783</v>
      </c>
      <c r="E10" s="17">
        <f>INDEX(LINEST('07 Excess'!D$8:D$127,'05 Factors'!C$8:F$127,TRUE,TRUE),1,2)</f>
        <v>0.48650568939836625</v>
      </c>
      <c r="F10" s="17">
        <f>INDEX(LINEST('07 Excess'!D$8:D$127,'05 Factors'!C$8:F$127,TRUE,TRUE),1,1)</f>
        <v>-0.2305012006261789</v>
      </c>
      <c r="G10" s="17">
        <f>INDEX(LINEST('07 Excess'!D$8:D$127,'05 Factors'!C$8:F$127,TRUE,TRUE),3,1)</f>
        <v>0.45291888392638108</v>
      </c>
      <c r="H10" s="18">
        <f>INDEX(LINEST('07 Excess'!D$8:D$127,'05 Factors'!C$8:F$127,TRUE,TRUE),5,2)/INDEX(LINEST('07 Excess'!D$8:D$127,'05 Factors'!C$8:F$127,TRUE,TRUE),4,2)</f>
        <v>5.9630961327555168E-3</v>
      </c>
      <c r="I10" s="19">
        <f>COUNT('07 Excess'!D$8:D$127)</f>
        <v>120</v>
      </c>
      <c r="J10" s="7">
        <f>INDEX(LINEST('07 Excess'!D$8:D$127,'05 Factors'!C$8:F$127,TRUE,TRUE),2,5)</f>
        <v>7.3412703119849678E-3</v>
      </c>
    </row>
    <row r="11" spans="1:11" x14ac:dyDescent="0.3">
      <c r="A11" s="2" t="s">
        <v>134</v>
      </c>
      <c r="B11" s="7">
        <f>INDEX(LINEST('07 Excess'!E$8:E$127,'05 Factors'!C$8:F$127,TRUE,TRUE),1,5)</f>
        <v>4.3508649002492964E-3</v>
      </c>
      <c r="C11" s="17">
        <f>INDEX(LINEST('07 Excess'!E$8:E$127,'05 Factors'!C$8:F$127,TRUE,TRUE),1,4)</f>
        <v>1.149795983044422</v>
      </c>
      <c r="D11" s="17">
        <f>INDEX(LINEST('07 Excess'!E$8:E$127,'05 Factors'!C$8:F$127,TRUE,TRUE),1,3)</f>
        <v>9.8721668003900462E-2</v>
      </c>
      <c r="E11" s="17">
        <f>INDEX(LINEST('07 Excess'!E$8:E$127,'05 Factors'!C$8:F$127,TRUE,TRUE),1,2)</f>
        <v>0.86364040708448697</v>
      </c>
      <c r="F11" s="17">
        <f>INDEX(LINEST('07 Excess'!E$8:E$127,'05 Factors'!C$8:F$127,TRUE,TRUE),1,1)</f>
        <v>0.14556406521468881</v>
      </c>
      <c r="G11" s="17">
        <f>INDEX(LINEST('07 Excess'!E$8:E$127,'05 Factors'!C$8:F$127,TRUE,TRUE),3,1)</f>
        <v>0.74845143591948615</v>
      </c>
      <c r="H11" s="18">
        <f>INDEX(LINEST('07 Excess'!E$8:E$127,'05 Factors'!C$8:F$127,TRUE,TRUE),5,2)/INDEX(LINEST('07 Excess'!E$8:E$127,'05 Factors'!C$8:F$127,TRUE,TRUE),4,2)</f>
        <v>1.2762592829710765E-3</v>
      </c>
      <c r="I11" s="19">
        <f>COUNT('07 Excess'!E$8:E$127)</f>
        <v>120</v>
      </c>
      <c r="J11" s="7">
        <f>INDEX(LINEST('07 Excess'!E$8:E$127,'05 Factors'!C$8:F$127,TRUE,TRUE),2,5)</f>
        <v>3.3962900053281721E-3</v>
      </c>
    </row>
    <row r="12" spans="1:11" x14ac:dyDescent="0.3">
      <c r="A12" s="2" t="s">
        <v>135</v>
      </c>
      <c r="B12" s="7">
        <f>INDEX(LINEST('07 Excess'!F$8:F$127,'05 Factors'!C$8:F$127,TRUE,TRUE),1,5)</f>
        <v>3.2632362487792312E-2</v>
      </c>
      <c r="C12" s="17">
        <f>INDEX(LINEST('07 Excess'!F$8:F$127,'05 Factors'!C$8:F$127,TRUE,TRUE),1,4)</f>
        <v>1.8894402276388826</v>
      </c>
      <c r="D12" s="17">
        <f>INDEX(LINEST('07 Excess'!F$8:F$127,'05 Factors'!C$8:F$127,TRUE,TRUE),1,3)</f>
        <v>-0.1691491016532817</v>
      </c>
      <c r="E12" s="17">
        <f>INDEX(LINEST('07 Excess'!F$8:F$127,'05 Factors'!C$8:F$127,TRUE,TRUE),1,2)</f>
        <v>-1.007831590124932</v>
      </c>
      <c r="F12" s="17">
        <f>INDEX(LINEST('07 Excess'!F$8:F$127,'05 Factors'!C$8:F$127,TRUE,TRUE),1,1)</f>
        <v>0.14247704048753387</v>
      </c>
      <c r="G12" s="17">
        <f>INDEX(LINEST('07 Excess'!F$8:F$127,'05 Factors'!C$8:F$127,TRUE,TRUE),3,1)</f>
        <v>0.44820301316744671</v>
      </c>
      <c r="H12" s="18">
        <f>INDEX(LINEST('07 Excess'!F$8:F$127,'05 Factors'!C$8:F$127,TRUE,TRUE),5,2)/INDEX(LINEST('07 Excess'!F$8:F$127,'05 Factors'!C$8:F$127,TRUE,TRUE),4,2)</f>
        <v>1.0718283433894304E-2</v>
      </c>
      <c r="I12" s="19">
        <f>COUNT('07 Excess'!F$8:F$127)</f>
        <v>120</v>
      </c>
      <c r="J12" s="7">
        <f>INDEX(LINEST('07 Excess'!F$8:F$127,'05 Factors'!C$8:F$127,TRUE,TRUE),2,5)</f>
        <v>9.8423301470857653E-3</v>
      </c>
    </row>
    <row r="13" spans="1:11" x14ac:dyDescent="0.3">
      <c r="A13" s="2" t="s">
        <v>136</v>
      </c>
      <c r="B13" s="7">
        <f>INDEX(LINEST('07 Excess'!G$8:G$127,'05 Factors'!C$8:F$127,TRUE,TRUE),1,5)</f>
        <v>-5.1866756326879714E-3</v>
      </c>
      <c r="C13" s="17">
        <f>INDEX(LINEST('07 Excess'!G$8:G$127,'05 Factors'!C$8:F$127,TRUE,TRUE),1,4)</f>
        <v>0.64532861797625252</v>
      </c>
      <c r="D13" s="17">
        <f>INDEX(LINEST('07 Excess'!G$8:G$127,'05 Factors'!C$8:F$127,TRUE,TRUE),1,3)</f>
        <v>-0.23625103407448494</v>
      </c>
      <c r="E13" s="17">
        <f>INDEX(LINEST('07 Excess'!G$8:G$127,'05 Factors'!C$8:F$127,TRUE,TRUE),1,2)</f>
        <v>0.17601576433582541</v>
      </c>
      <c r="F13" s="17">
        <f>INDEX(LINEST('07 Excess'!G$8:G$127,'05 Factors'!C$8:F$127,TRUE,TRUE),1,1)</f>
        <v>0.18530736267105585</v>
      </c>
      <c r="G13" s="17">
        <f>INDEX(LINEST('07 Excess'!G$8:G$127,'05 Factors'!C$8:F$127,TRUE,TRUE),3,1)</f>
        <v>0.1671469543460096</v>
      </c>
      <c r="H13" s="18">
        <f>INDEX(LINEST('07 Excess'!G$8:G$127,'05 Factors'!C$8:F$127,TRUE,TRUE),5,2)/INDEX(LINEST('07 Excess'!G$8:G$127,'05 Factors'!C$8:F$127,TRUE,TRUE),4,2)</f>
        <v>3.6786815291279468E-3</v>
      </c>
      <c r="I13" s="19">
        <f>COUNT('07 Excess'!G$8:G$127)</f>
        <v>120</v>
      </c>
      <c r="J13" s="7">
        <f>INDEX(LINEST('07 Excess'!G$8:G$127,'05 Factors'!C$8:F$127,TRUE,TRUE),2,5)</f>
        <v>5.7660898558222875E-3</v>
      </c>
    </row>
    <row r="14" spans="1:11" x14ac:dyDescent="0.3">
      <c r="A14" s="2" t="s">
        <v>137</v>
      </c>
      <c r="B14" s="7">
        <f>INDEX(LINEST('07 Excess'!H$8:H$127,'05 Factors'!C$8:F$127,TRUE,TRUE),1,5)</f>
        <v>-3.8280305385083946E-3</v>
      </c>
      <c r="C14" s="17">
        <f>INDEX(LINEST('07 Excess'!H$8:H$127,'05 Factors'!C$8:F$127,TRUE,TRUE),1,4)</f>
        <v>1.0207804051706326</v>
      </c>
      <c r="D14" s="17">
        <f>INDEX(LINEST('07 Excess'!H$8:H$127,'05 Factors'!C$8:F$127,TRUE,TRUE),1,3)</f>
        <v>3.690954539032984E-2</v>
      </c>
      <c r="E14" s="17">
        <f>INDEX(LINEST('07 Excess'!H$8:H$127,'05 Factors'!C$8:F$127,TRUE,TRUE),1,2)</f>
        <v>-5.6716091610047099E-2</v>
      </c>
      <c r="F14" s="17">
        <f>INDEX(LINEST('07 Excess'!H$8:H$127,'05 Factors'!C$8:F$127,TRUE,TRUE),1,1)</f>
        <v>2.5059826572611753E-2</v>
      </c>
      <c r="G14" s="17">
        <f>INDEX(LINEST('07 Excess'!H$8:H$127,'05 Factors'!C$8:F$127,TRUE,TRUE),3,1)</f>
        <v>0.27015912436846512</v>
      </c>
      <c r="H14" s="18">
        <f>INDEX(LINEST('07 Excess'!H$8:H$127,'05 Factors'!C$8:F$127,TRUE,TRUE),5,2)/INDEX(LINEST('07 Excess'!H$8:H$127,'05 Factors'!C$8:F$127,TRUE,TRUE),4,2)</f>
        <v>6.0191832293981559E-3</v>
      </c>
      <c r="I14" s="19">
        <f>COUNT('07 Excess'!H$8:H$127)</f>
        <v>120</v>
      </c>
      <c r="J14" s="7">
        <f>INDEX(LINEST('07 Excess'!H$8:H$127,'05 Factors'!C$8:F$127,TRUE,TRUE),2,5)</f>
        <v>7.3757144039858207E-3</v>
      </c>
    </row>
    <row r="15" spans="1:11" x14ac:dyDescent="0.3">
      <c r="A15" s="2" t="s">
        <v>138</v>
      </c>
      <c r="B15" s="7">
        <f>INDEX(LINEST('07 Excess'!I$8:I$127,'05 Factors'!C$8:F$127,TRUE,TRUE),1,5)</f>
        <v>2.0841808837398183E-4</v>
      </c>
      <c r="C15" s="17">
        <f>INDEX(LINEST('07 Excess'!I$8:I$127,'05 Factors'!C$8:F$127,TRUE,TRUE),1,4)</f>
        <v>0.81040514874777725</v>
      </c>
      <c r="D15" s="17">
        <f>INDEX(LINEST('07 Excess'!I$8:I$127,'05 Factors'!C$8:F$127,TRUE,TRUE),1,3)</f>
        <v>-3.3318937333865734E-2</v>
      </c>
      <c r="E15" s="17">
        <f>INDEX(LINEST('07 Excess'!I$8:I$127,'05 Factors'!C$8:F$127,TRUE,TRUE),1,2)</f>
        <v>1.0040576644515511</v>
      </c>
      <c r="F15" s="17">
        <f>INDEX(LINEST('07 Excess'!I$8:I$127,'05 Factors'!C$8:F$127,TRUE,TRUE),1,1)</f>
        <v>-0.10702607372391713</v>
      </c>
      <c r="G15" s="17">
        <f>INDEX(LINEST('07 Excess'!I$8:I$127,'05 Factors'!C$8:F$127,TRUE,TRUE),3,1)</f>
        <v>0.49833162761032046</v>
      </c>
      <c r="H15" s="18">
        <f>INDEX(LINEST('07 Excess'!I$8:I$127,'05 Factors'!C$8:F$127,TRUE,TRUE),5,2)/INDEX(LINEST('07 Excess'!I$8:I$127,'05 Factors'!C$8:F$127,TRUE,TRUE),4,2)</f>
        <v>3.2025686535000469E-3</v>
      </c>
      <c r="I15" s="19">
        <f>COUNT('07 Excess'!I$8:I$127)</f>
        <v>120</v>
      </c>
      <c r="J15" s="7">
        <f>INDEX(LINEST('07 Excess'!I$8:I$127,'05 Factors'!C$8:F$127,TRUE,TRUE),2,5)</f>
        <v>5.3800279800786275E-3</v>
      </c>
    </row>
    <row r="16" spans="1:11" x14ac:dyDescent="0.3">
      <c r="A16" s="2" t="s">
        <v>139</v>
      </c>
      <c r="B16" s="7">
        <f>INDEX(LINEST('07 Excess'!J$8:J$127,'05 Factors'!C$8:F$127,TRUE,TRUE),1,5)</f>
        <v>7.5944024083744802E-3</v>
      </c>
      <c r="C16" s="17">
        <f>INDEX(LINEST('07 Excess'!J$8:J$127,'05 Factors'!C$8:F$127,TRUE,TRUE),1,4)</f>
        <v>0.64374002691914578</v>
      </c>
      <c r="D16" s="17">
        <f>INDEX(LINEST('07 Excess'!J$8:J$127,'05 Factors'!C$8:F$127,TRUE,TRUE),1,3)</f>
        <v>-0.46619669445097117</v>
      </c>
      <c r="E16" s="17">
        <f>INDEX(LINEST('07 Excess'!J$8:J$127,'05 Factors'!C$8:F$127,TRUE,TRUE),1,2)</f>
        <v>-0.10413877826552224</v>
      </c>
      <c r="F16" s="17">
        <f>INDEX(LINEST('07 Excess'!J$8:J$127,'05 Factors'!C$8:F$127,TRUE,TRUE),1,1)</f>
        <v>0.17679421733311276</v>
      </c>
      <c r="G16" s="17">
        <f>INDEX(LINEST('07 Excess'!J$8:J$127,'05 Factors'!C$8:F$127,TRUE,TRUE),3,1)</f>
        <v>0.27275903484132746</v>
      </c>
      <c r="H16" s="18">
        <f>INDEX(LINEST('07 Excess'!J$8:J$127,'05 Factors'!C$8:F$127,TRUE,TRUE),5,2)/INDEX(LINEST('07 Excess'!J$8:J$127,'05 Factors'!C$8:F$127,TRUE,TRUE),4,2)</f>
        <v>2.1233048761902787E-3</v>
      </c>
      <c r="I16" s="19">
        <f>COUNT('07 Excess'!J$8:J$127)</f>
        <v>120</v>
      </c>
      <c r="J16" s="7">
        <f>INDEX(LINEST('07 Excess'!J$8:J$127,'05 Factors'!C$8:F$127,TRUE,TRUE),2,5)</f>
        <v>4.3806795828835315E-3</v>
      </c>
    </row>
    <row r="17" spans="1:11" x14ac:dyDescent="0.3">
      <c r="A17" s="2" t="s">
        <v>140</v>
      </c>
      <c r="B17" s="7">
        <f>INDEX(LINEST('07 Excess'!K$8:K$127,'05 Factors'!C$8:F$127,TRUE,TRUE),1,5)</f>
        <v>-2.5324155740037596E-3</v>
      </c>
      <c r="C17" s="17">
        <f>INDEX(LINEST('07 Excess'!K$8:K$127,'05 Factors'!C$8:F$127,TRUE,TRUE),1,4)</f>
        <v>0.41874030467550066</v>
      </c>
      <c r="D17" s="17">
        <f>INDEX(LINEST('07 Excess'!K$8:K$127,'05 Factors'!C$8:F$127,TRUE,TRUE),1,3)</f>
        <v>-0.59491499488603439</v>
      </c>
      <c r="E17" s="17">
        <f>INDEX(LINEST('07 Excess'!K$8:K$127,'05 Factors'!C$8:F$127,TRUE,TRUE),1,2)</f>
        <v>0.23652449661148509</v>
      </c>
      <c r="F17" s="17">
        <f>INDEX(LINEST('07 Excess'!K$8:K$127,'05 Factors'!C$8:F$127,TRUE,TRUE),1,1)</f>
        <v>-7.4910555727804293E-2</v>
      </c>
      <c r="G17" s="17">
        <f>INDEX(LINEST('07 Excess'!K$8:K$127,'05 Factors'!C$8:F$127,TRUE,TRUE),3,1)</f>
        <v>0.1899082690333877</v>
      </c>
      <c r="H17" s="18">
        <f>INDEX(LINEST('07 Excess'!K$8:K$127,'05 Factors'!C$8:F$127,TRUE,TRUE),5,2)/INDEX(LINEST('07 Excess'!K$8:K$127,'05 Factors'!C$8:F$127,TRUE,TRUE),4,2)</f>
        <v>2.2592405251477391E-3</v>
      </c>
      <c r="I17" s="19">
        <f>COUNT('07 Excess'!K$8:K$127)</f>
        <v>120</v>
      </c>
      <c r="J17" s="7">
        <f>INDEX(LINEST('07 Excess'!K$8:K$127,'05 Factors'!C$8:F$127,TRUE,TRUE),2,5)</f>
        <v>4.5187315860043993E-3</v>
      </c>
    </row>
    <row r="21" spans="1:11" ht="25.95" customHeight="1" x14ac:dyDescent="0.3">
      <c r="A21" s="25" t="s">
        <v>82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30" customHeight="1" x14ac:dyDescent="0.3">
      <c r="A22" s="21" t="s">
        <v>182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30" customHeight="1" x14ac:dyDescent="0.3">
      <c r="A23" s="21" t="s">
        <v>183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30" customHeight="1" x14ac:dyDescent="0.3">
      <c r="A24" s="21" t="s">
        <v>172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30" customHeight="1" x14ac:dyDescent="0.3">
      <c r="A25" s="21" t="s">
        <v>184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30" customHeight="1" x14ac:dyDescent="0.3">
      <c r="A26" s="21" t="s">
        <v>174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30" customHeight="1" x14ac:dyDescent="0.3">
      <c r="A27" s="21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30" customHeight="1" x14ac:dyDescent="0.3">
      <c r="A28" s="21" t="s">
        <v>176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</row>
  </sheetData>
  <mergeCells count="10">
    <mergeCell ref="A28:K28"/>
    <mergeCell ref="A1:K1"/>
    <mergeCell ref="A23:K23"/>
    <mergeCell ref="A27:K27"/>
    <mergeCell ref="A22:K22"/>
    <mergeCell ref="A3:K3"/>
    <mergeCell ref="A21:K21"/>
    <mergeCell ref="A26:K26"/>
    <mergeCell ref="A25:K25"/>
    <mergeCell ref="A24:K24"/>
  </mergeCells>
  <hyperlinks>
    <hyperlink ref="A2" location="'00 Start'!A1" display="Back to guide" xr:uid="{00000000-0004-0000-0A00-000000000000}"/>
  </hyperlinks>
  <printOptions horizontalCentered="1"/>
  <pageMargins left="0.25" right="0.25" top="0.35" bottom="0.35" header="0.5" footer="0.5"/>
  <pageSetup paperSize="9" fitToHeight="0" orientation="landscape"/>
  <headerFooter>
    <oddFooter>&amp;CBFIN | &amp;A |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68B80"/>
    <pageSetUpPr fitToPage="1"/>
  </sheetPr>
  <dimension ref="A1:K28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14" width="13" customWidth="1"/>
  </cols>
  <sheetData>
    <row r="1" spans="1:11" ht="25.95" customHeight="1" x14ac:dyDescent="0.3">
      <c r="A1" s="24" t="s">
        <v>185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5.6" x14ac:dyDescent="0.3">
      <c r="A2" s="1" t="s">
        <v>55</v>
      </c>
    </row>
    <row r="3" spans="1:11" ht="42" customHeight="1" x14ac:dyDescent="0.3">
      <c r="A3" s="21" t="s">
        <v>163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7" spans="1:11" ht="34.049999999999997" customHeight="1" x14ac:dyDescent="0.3">
      <c r="A7" s="4" t="s">
        <v>164</v>
      </c>
      <c r="B7" s="4" t="s">
        <v>80</v>
      </c>
      <c r="C7" s="4" t="s">
        <v>165</v>
      </c>
      <c r="D7" s="4" t="s">
        <v>74</v>
      </c>
      <c r="E7" s="4" t="s">
        <v>75</v>
      </c>
      <c r="F7" s="4" t="s">
        <v>152</v>
      </c>
      <c r="G7" s="4" t="s">
        <v>153</v>
      </c>
      <c r="H7" s="4" t="s">
        <v>166</v>
      </c>
      <c r="I7" s="4" t="s">
        <v>167</v>
      </c>
      <c r="J7" s="4" t="s">
        <v>168</v>
      </c>
      <c r="K7" s="4" t="s">
        <v>169</v>
      </c>
    </row>
    <row r="8" spans="1:11" x14ac:dyDescent="0.3">
      <c r="A8" s="2" t="s">
        <v>131</v>
      </c>
      <c r="B8" s="7">
        <f>INDEX(LINEST('07 Excess'!B$8:B$127,'05 Factors'!G$8:K$127,TRUE,TRUE),1,6)</f>
        <v>2.6199774554711303E-2</v>
      </c>
      <c r="C8" s="17">
        <f>INDEX(LINEST('07 Excess'!B$8:B$127,'05 Factors'!G$8:K$127,TRUE,TRUE),1,5)</f>
        <v>2.1846123299248248</v>
      </c>
      <c r="D8" s="17">
        <f>INDEX(LINEST('07 Excess'!B$8:B$127,'05 Factors'!G$8:K$127,TRUE,TRUE),1,4)</f>
        <v>-0.67374600264805828</v>
      </c>
      <c r="E8" s="17">
        <f>INDEX(LINEST('07 Excess'!B$8:B$127,'05 Factors'!G$8:K$127,TRUE,TRUE),1,3)</f>
        <v>-0.71614871894406884</v>
      </c>
      <c r="F8" s="17">
        <f>INDEX(LINEST('07 Excess'!B$8:B$127,'05 Factors'!G$8:K$127,TRUE,TRUE),1,2)</f>
        <v>-1.0506866903427412</v>
      </c>
      <c r="G8" s="17">
        <f>INDEX(LINEST('07 Excess'!B$8:B$127,'05 Factors'!G$8:K$127,TRUE,TRUE),1,1)</f>
        <v>-0.10895126462506238</v>
      </c>
      <c r="H8" s="17">
        <f>INDEX(LINEST('07 Excess'!B$8:B$127,'05 Factors'!G$8:K$127,TRUE,TRUE),3,1)</f>
        <v>0.37118145555101467</v>
      </c>
      <c r="I8" s="18">
        <f>INDEX(LINEST('07 Excess'!B$8:B$127,'05 Factors'!G$8:K$127,TRUE,TRUE),5,2)/INDEX(LINEST('07 Excess'!B$8:B$127,'05 Factors'!G$8:K$127,TRUE,TRUE),4,2)</f>
        <v>1.8869819596067886E-2</v>
      </c>
      <c r="J8" s="19">
        <f>COUNT('07 Excess'!B$8:B$127)</f>
        <v>120</v>
      </c>
      <c r="K8" s="7">
        <f>INDEX(LINEST('07 Excess'!B$8:B$127,'05 Factors'!G$8:K$127,TRUE,TRUE),2,6)</f>
        <v>1.3084902326240065E-2</v>
      </c>
    </row>
    <row r="9" spans="1:11" x14ac:dyDescent="0.3">
      <c r="A9" s="2" t="s">
        <v>132</v>
      </c>
      <c r="B9" s="7">
        <f>INDEX(LINEST('07 Excess'!C$8:C$127,'05 Factors'!G$8:K$127,TRUE,TRUE),1,6)</f>
        <v>4.9182696847283507E-3</v>
      </c>
      <c r="C9" s="17">
        <f>INDEX(LINEST('07 Excess'!C$8:C$127,'05 Factors'!G$8:K$127,TRUE,TRUE),1,5)</f>
        <v>1.2656000787090917</v>
      </c>
      <c r="D9" s="17">
        <f>INDEX(LINEST('07 Excess'!C$8:C$127,'05 Factors'!G$8:K$127,TRUE,TRUE),1,4)</f>
        <v>-0.39880530885682136</v>
      </c>
      <c r="E9" s="17">
        <f>INDEX(LINEST('07 Excess'!C$8:C$127,'05 Factors'!G$8:K$127,TRUE,TRUE),1,3)</f>
        <v>-0.52325098478794885</v>
      </c>
      <c r="F9" s="17">
        <f>INDEX(LINEST('07 Excess'!C$8:C$127,'05 Factors'!G$8:K$127,TRUE,TRUE),1,2)</f>
        <v>-0.62449844540914179</v>
      </c>
      <c r="G9" s="17">
        <f>INDEX(LINEST('07 Excess'!C$8:C$127,'05 Factors'!G$8:K$127,TRUE,TRUE),1,1)</f>
        <v>-0.64963986513234906</v>
      </c>
      <c r="H9" s="17">
        <f>INDEX(LINEST('07 Excess'!C$8:C$127,'05 Factors'!G$8:K$127,TRUE,TRUE),3,1)</f>
        <v>0.65109280964529204</v>
      </c>
      <c r="I9" s="18">
        <f>INDEX(LINEST('07 Excess'!C$8:C$127,'05 Factors'!G$8:K$127,TRUE,TRUE),5,2)/INDEX(LINEST('07 Excess'!C$8:C$127,'05 Factors'!G$8:K$127,TRUE,TRUE),4,2)</f>
        <v>2.7160953195303414E-3</v>
      </c>
      <c r="J9" s="19">
        <f>COUNT('07 Excess'!C$8:C$127)</f>
        <v>120</v>
      </c>
      <c r="K9" s="7">
        <f>INDEX(LINEST('07 Excess'!C$8:C$127,'05 Factors'!G$8:K$127,TRUE,TRUE),2,6)</f>
        <v>4.9643125277991848E-3</v>
      </c>
    </row>
    <row r="10" spans="1:11" x14ac:dyDescent="0.3">
      <c r="A10" s="2" t="s">
        <v>133</v>
      </c>
      <c r="B10" s="7">
        <f>INDEX(LINEST('07 Excess'!D$8:D$127,'05 Factors'!G$8:K$127,TRUE,TRUE),1,6)</f>
        <v>-5.891801370850421E-3</v>
      </c>
      <c r="C10" s="17">
        <f>INDEX(LINEST('07 Excess'!D$8:D$127,'05 Factors'!G$8:K$127,TRUE,TRUE),1,5)</f>
        <v>1.2950496340960826</v>
      </c>
      <c r="D10" s="17">
        <f>INDEX(LINEST('07 Excess'!D$8:D$127,'05 Factors'!G$8:K$127,TRUE,TRUE),1,4)</f>
        <v>0.32269382018630705</v>
      </c>
      <c r="E10" s="17">
        <f>INDEX(LINEST('07 Excess'!D$8:D$127,'05 Factors'!G$8:K$127,TRUE,TRUE),1,3)</f>
        <v>0.62803898359048793</v>
      </c>
      <c r="F10" s="17">
        <f>INDEX(LINEST('07 Excess'!D$8:D$127,'05 Factors'!G$8:K$127,TRUE,TRUE),1,2)</f>
        <v>2.3310904402388141E-2</v>
      </c>
      <c r="G10" s="17">
        <f>INDEX(LINEST('07 Excess'!D$8:D$127,'05 Factors'!G$8:K$127,TRUE,TRUE),1,1)</f>
        <v>-0.34956533620421304</v>
      </c>
      <c r="H10" s="17">
        <f>INDEX(LINEST('07 Excess'!D$8:D$127,'05 Factors'!G$8:K$127,TRUE,TRUE),3,1)</f>
        <v>0.44871700110346646</v>
      </c>
      <c r="I10" s="18">
        <f>INDEX(LINEST('07 Excess'!D$8:D$127,'05 Factors'!G$8:K$127,TRUE,TRUE),5,2)/INDEX(LINEST('07 Excess'!D$8:D$127,'05 Factors'!G$8:K$127,TRUE,TRUE),4,2)</f>
        <v>6.0616055932421233E-3</v>
      </c>
      <c r="J10" s="19">
        <f>COUNT('07 Excess'!D$8:D$127)</f>
        <v>120</v>
      </c>
      <c r="K10" s="7">
        <f>INDEX(LINEST('07 Excess'!D$8:D$127,'05 Factors'!G$8:K$127,TRUE,TRUE),2,6)</f>
        <v>7.4161831835909261E-3</v>
      </c>
    </row>
    <row r="11" spans="1:11" x14ac:dyDescent="0.3">
      <c r="A11" s="2" t="s">
        <v>134</v>
      </c>
      <c r="B11" s="7">
        <f>INDEX(LINEST('07 Excess'!E$8:E$127,'05 Factors'!G$8:K$127,TRUE,TRUE),1,6)</f>
        <v>5.7811629065047622E-3</v>
      </c>
      <c r="C11" s="17">
        <f>INDEX(LINEST('07 Excess'!E$8:E$127,'05 Factors'!G$8:K$127,TRUE,TRUE),1,5)</f>
        <v>1.1128743293946426</v>
      </c>
      <c r="D11" s="17">
        <f>INDEX(LINEST('07 Excess'!E$8:E$127,'05 Factors'!G$8:K$127,TRUE,TRUE),1,4)</f>
        <v>-0.16555006753708745</v>
      </c>
      <c r="E11" s="17">
        <f>INDEX(LINEST('07 Excess'!E$8:E$127,'05 Factors'!G$8:K$127,TRUE,TRUE),1,3)</f>
        <v>1.0692101678311938</v>
      </c>
      <c r="F11" s="17">
        <f>INDEX(LINEST('07 Excess'!E$8:E$127,'05 Factors'!G$8:K$127,TRUE,TRUE),1,2)</f>
        <v>-0.53858108359727985</v>
      </c>
      <c r="G11" s="17">
        <f>INDEX(LINEST('07 Excess'!E$8:E$127,'05 Factors'!G$8:K$127,TRUE,TRUE),1,1)</f>
        <v>-0.38339750511178755</v>
      </c>
      <c r="H11" s="17">
        <f>INDEX(LINEST('07 Excess'!E$8:E$127,'05 Factors'!G$8:K$127,TRUE,TRUE),3,1)</f>
        <v>0.77956635062647306</v>
      </c>
      <c r="I11" s="18">
        <f>INDEX(LINEST('07 Excess'!E$8:E$127,'05 Factors'!G$8:K$127,TRUE,TRUE),5,2)/INDEX(LINEST('07 Excess'!E$8:E$127,'05 Factors'!G$8:K$127,TRUE,TRUE),4,2)</f>
        <v>1.1282048206343301E-3</v>
      </c>
      <c r="J11" s="19">
        <f>COUNT('07 Excess'!E$8:E$127)</f>
        <v>120</v>
      </c>
      <c r="K11" s="7">
        <f>INDEX(LINEST('07 Excess'!E$8:E$127,'05 Factors'!G$8:K$127,TRUE,TRUE),2,6)</f>
        <v>3.1994887438363349E-3</v>
      </c>
    </row>
    <row r="12" spans="1:11" x14ac:dyDescent="0.3">
      <c r="A12" s="2" t="s">
        <v>135</v>
      </c>
      <c r="B12" s="7">
        <f>INDEX(LINEST('07 Excess'!F$8:F$127,'05 Factors'!G$8:K$127,TRUE,TRUE),1,6)</f>
        <v>3.2383026647343278E-2</v>
      </c>
      <c r="C12" s="17">
        <f>INDEX(LINEST('07 Excess'!F$8:F$127,'05 Factors'!G$8:K$127,TRUE,TRUE),1,5)</f>
        <v>1.790925243573376</v>
      </c>
      <c r="D12" s="17">
        <f>INDEX(LINEST('07 Excess'!F$8:F$127,'05 Factors'!G$8:K$127,TRUE,TRUE),1,4)</f>
        <v>-0.27795299907907606</v>
      </c>
      <c r="E12" s="17">
        <f>INDEX(LINEST('07 Excess'!F$8:F$127,'05 Factors'!G$8:K$127,TRUE,TRUE),1,3)</f>
        <v>-0.74085890929439036</v>
      </c>
      <c r="F12" s="17">
        <f>INDEX(LINEST('07 Excess'!F$8:F$127,'05 Factors'!G$8:K$127,TRUE,TRUE),1,2)</f>
        <v>0.29285248963879262</v>
      </c>
      <c r="G12" s="17">
        <f>INDEX(LINEST('07 Excess'!F$8:F$127,'05 Factors'!G$8:K$127,TRUE,TRUE),1,1)</f>
        <v>-0.67668762365163659</v>
      </c>
      <c r="H12" s="17">
        <f>INDEX(LINEST('07 Excess'!F$8:F$127,'05 Factors'!G$8:K$127,TRUE,TRUE),3,1)</f>
        <v>0.45786016345643527</v>
      </c>
      <c r="I12" s="18">
        <f>INDEX(LINEST('07 Excess'!F$8:F$127,'05 Factors'!G$8:K$127,TRUE,TRUE),5,2)/INDEX(LINEST('07 Excess'!F$8:F$127,'05 Factors'!G$8:K$127,TRUE,TRUE),4,2)</f>
        <v>1.0623074377932317E-2</v>
      </c>
      <c r="J12" s="19">
        <f>COUNT('07 Excess'!F$8:F$127)</f>
        <v>120</v>
      </c>
      <c r="K12" s="7">
        <f>INDEX(LINEST('07 Excess'!F$8:F$127,'05 Factors'!G$8:K$127,TRUE,TRUE),2,6)</f>
        <v>9.8177444206953238E-3</v>
      </c>
    </row>
    <row r="13" spans="1:11" x14ac:dyDescent="0.3">
      <c r="A13" s="2" t="s">
        <v>136</v>
      </c>
      <c r="B13" s="7">
        <f>INDEX(LINEST('07 Excess'!G$8:G$127,'05 Factors'!G$8:K$127,TRUE,TRUE),1,6)</f>
        <v>-6.4299202345108044E-3</v>
      </c>
      <c r="C13" s="17">
        <f>INDEX(LINEST('07 Excess'!G$8:G$127,'05 Factors'!G$8:K$127,TRUE,TRUE),1,5)</f>
        <v>0.59636702018297238</v>
      </c>
      <c r="D13" s="17">
        <f>INDEX(LINEST('07 Excess'!G$8:G$127,'05 Factors'!G$8:K$127,TRUE,TRUE),1,4)</f>
        <v>0.10712208210555163</v>
      </c>
      <c r="E13" s="17">
        <f>INDEX(LINEST('07 Excess'!G$8:G$127,'05 Factors'!G$8:K$127,TRUE,TRUE),1,3)</f>
        <v>-0.26377889844455221</v>
      </c>
      <c r="F13" s="17">
        <f>INDEX(LINEST('07 Excess'!G$8:G$127,'05 Factors'!G$8:K$127,TRUE,TRUE),1,2)</f>
        <v>0.88065745599474177</v>
      </c>
      <c r="G13" s="17">
        <f>INDEX(LINEST('07 Excess'!G$8:G$127,'05 Factors'!G$8:K$127,TRUE,TRUE),1,1)</f>
        <v>0.66735355895642734</v>
      </c>
      <c r="H13" s="17">
        <f>INDEX(LINEST('07 Excess'!G$8:G$127,'05 Factors'!G$8:K$127,TRUE,TRUE),3,1)</f>
        <v>0.2693165978377533</v>
      </c>
      <c r="I13" s="18">
        <f>INDEX(LINEST('07 Excess'!G$8:G$127,'05 Factors'!G$8:K$127,TRUE,TRUE),5,2)/INDEX(LINEST('07 Excess'!G$8:G$127,'05 Factors'!G$8:K$127,TRUE,TRUE),4,2)</f>
        <v>3.255712483207399E-3</v>
      </c>
      <c r="J13" s="19">
        <f>COUNT('07 Excess'!G$8:G$127)</f>
        <v>120</v>
      </c>
      <c r="K13" s="7">
        <f>INDEX(LINEST('07 Excess'!G$8:G$127,'05 Factors'!G$8:K$127,TRUE,TRUE),2,6)</f>
        <v>5.435126210924973E-3</v>
      </c>
    </row>
    <row r="14" spans="1:11" x14ac:dyDescent="0.3">
      <c r="A14" s="2" t="s">
        <v>137</v>
      </c>
      <c r="B14" s="7">
        <f>INDEX(LINEST('07 Excess'!H$8:H$127,'05 Factors'!G$8:K$127,TRUE,TRUE),1,6)</f>
        <v>-4.38274241766109E-3</v>
      </c>
      <c r="C14" s="17">
        <f>INDEX(LINEST('07 Excess'!H$8:H$127,'05 Factors'!G$8:K$127,TRUE,TRUE),1,5)</f>
        <v>1.0651058970444625</v>
      </c>
      <c r="D14" s="17">
        <f>INDEX(LINEST('07 Excess'!H$8:H$127,'05 Factors'!G$8:K$127,TRUE,TRUE),1,4)</f>
        <v>0.19485172523579261</v>
      </c>
      <c r="E14" s="17">
        <f>INDEX(LINEST('07 Excess'!H$8:H$127,'05 Factors'!G$8:K$127,TRUE,TRUE),1,3)</f>
        <v>-0.42354072280879257</v>
      </c>
      <c r="F14" s="17">
        <f>INDEX(LINEST('07 Excess'!H$8:H$127,'05 Factors'!G$8:K$127,TRUE,TRUE),1,2)</f>
        <v>0.20837753909804868</v>
      </c>
      <c r="G14" s="17">
        <f>INDEX(LINEST('07 Excess'!H$8:H$127,'05 Factors'!G$8:K$127,TRUE,TRUE),1,1)</f>
        <v>0.73029550543114796</v>
      </c>
      <c r="H14" s="17">
        <f>INDEX(LINEST('07 Excess'!H$8:H$127,'05 Factors'!G$8:K$127,TRUE,TRUE),3,1)</f>
        <v>0.29515190486433696</v>
      </c>
      <c r="I14" s="18">
        <f>INDEX(LINEST('07 Excess'!H$8:H$127,'05 Factors'!G$8:K$127,TRUE,TRUE),5,2)/INDEX(LINEST('07 Excess'!H$8:H$127,'05 Factors'!G$8:K$127,TRUE,TRUE),4,2)</f>
        <v>5.8640531821995343E-3</v>
      </c>
      <c r="J14" s="19">
        <f>COUNT('07 Excess'!H$8:H$127)</f>
        <v>120</v>
      </c>
      <c r="K14" s="7">
        <f>INDEX(LINEST('07 Excess'!H$8:H$127,'05 Factors'!G$8:K$127,TRUE,TRUE),2,6)</f>
        <v>7.294332587913472E-3</v>
      </c>
    </row>
    <row r="15" spans="1:11" x14ac:dyDescent="0.3">
      <c r="A15" s="2" t="s">
        <v>138</v>
      </c>
      <c r="B15" s="7">
        <f>INDEX(LINEST('07 Excess'!I$8:I$127,'05 Factors'!G$8:K$127,TRUE,TRUE),1,6)</f>
        <v>-3.2601360694931925E-5</v>
      </c>
      <c r="C15" s="17">
        <f>INDEX(LINEST('07 Excess'!I$8:I$127,'05 Factors'!G$8:K$127,TRUE,TRUE),1,5)</f>
        <v>0.8834526163392612</v>
      </c>
      <c r="D15" s="17">
        <f>INDEX(LINEST('07 Excess'!I$8:I$127,'05 Factors'!G$8:K$127,TRUE,TRUE),1,4)</f>
        <v>0.11848348613418472</v>
      </c>
      <c r="E15" s="17">
        <f>INDEX(LINEST('07 Excess'!I$8:I$127,'05 Factors'!G$8:K$127,TRUE,TRUE),1,3)</f>
        <v>0.76480969898514961</v>
      </c>
      <c r="F15" s="17">
        <f>INDEX(LINEST('07 Excess'!I$8:I$127,'05 Factors'!G$8:K$127,TRUE,TRUE),1,2)</f>
        <v>-2.7434856810789655E-2</v>
      </c>
      <c r="G15" s="17">
        <f>INDEX(LINEST('07 Excess'!I$8:I$127,'05 Factors'!G$8:K$127,TRUE,TRUE),1,1)</f>
        <v>0.59960787974875129</v>
      </c>
      <c r="H15" s="17">
        <f>INDEX(LINEST('07 Excess'!I$8:I$127,'05 Factors'!G$8:K$127,TRUE,TRUE),3,1)</f>
        <v>0.51566653040463017</v>
      </c>
      <c r="I15" s="18">
        <f>INDEX(LINEST('07 Excess'!I$8:I$127,'05 Factors'!G$8:K$127,TRUE,TRUE),5,2)/INDEX(LINEST('07 Excess'!I$8:I$127,'05 Factors'!G$8:K$127,TRUE,TRUE),4,2)</f>
        <v>3.1190274535366929E-3</v>
      </c>
      <c r="J15" s="19">
        <f>COUNT('07 Excess'!I$8:I$127)</f>
        <v>120</v>
      </c>
      <c r="K15" s="7">
        <f>INDEX(LINEST('07 Excess'!I$8:I$127,'05 Factors'!G$8:K$127,TRUE,TRUE),2,6)</f>
        <v>5.3198110814379751E-3</v>
      </c>
    </row>
    <row r="16" spans="1:11" x14ac:dyDescent="0.3">
      <c r="A16" s="2" t="s">
        <v>139</v>
      </c>
      <c r="B16" s="7">
        <f>INDEX(LINEST('07 Excess'!J$8:J$127,'05 Factors'!G$8:K$127,TRUE,TRUE),1,6)</f>
        <v>7.4482441206235196E-3</v>
      </c>
      <c r="C16" s="17">
        <f>INDEX(LINEST('07 Excess'!J$8:J$127,'05 Factors'!G$8:K$127,TRUE,TRUE),1,5)</f>
        <v>0.62036456858547195</v>
      </c>
      <c r="D16" s="17">
        <f>INDEX(LINEST('07 Excess'!J$8:J$127,'05 Factors'!G$8:K$127,TRUE,TRUE),1,4)</f>
        <v>-0.44857416181866883</v>
      </c>
      <c r="E16" s="17">
        <f>INDEX(LINEST('07 Excess'!J$8:J$127,'05 Factors'!G$8:K$127,TRUE,TRUE),1,3)</f>
        <v>-0.17945061513791014</v>
      </c>
      <c r="F16" s="17">
        <f>INDEX(LINEST('07 Excess'!J$8:J$127,'05 Factors'!G$8:K$127,TRUE,TRUE),1,2)</f>
        <v>0.17788979687683593</v>
      </c>
      <c r="G16" s="17">
        <f>INDEX(LINEST('07 Excess'!J$8:J$127,'05 Factors'!G$8:K$127,TRUE,TRUE),1,1)</f>
        <v>0.24294455835968101</v>
      </c>
      <c r="H16" s="17">
        <f>INDEX(LINEST('07 Excess'!J$8:J$127,'05 Factors'!G$8:K$127,TRUE,TRUE),3,1)</f>
        <v>0.27609934263084251</v>
      </c>
      <c r="I16" s="18">
        <f>INDEX(LINEST('07 Excess'!J$8:J$127,'05 Factors'!G$8:K$127,TRUE,TRUE),5,2)/INDEX(LINEST('07 Excess'!J$8:J$127,'05 Factors'!G$8:K$127,TRUE,TRUE),4,2)</f>
        <v>2.1320922062450114E-3</v>
      </c>
      <c r="J16" s="19">
        <f>COUNT('07 Excess'!J$8:J$127)</f>
        <v>120</v>
      </c>
      <c r="K16" s="7">
        <f>INDEX(LINEST('07 Excess'!J$8:J$127,'05 Factors'!G$8:K$127,TRUE,TRUE),2,6)</f>
        <v>4.3983481454352366E-3</v>
      </c>
    </row>
    <row r="17" spans="1:11" x14ac:dyDescent="0.3">
      <c r="A17" s="2" t="s">
        <v>140</v>
      </c>
      <c r="B17" s="7">
        <f>INDEX(LINEST('07 Excess'!K$8:K$127,'05 Factors'!G$8:K$127,TRUE,TRUE),1,6)</f>
        <v>-3.4047865584938093E-3</v>
      </c>
      <c r="C17" s="17">
        <f>INDEX(LINEST('07 Excess'!K$8:K$127,'05 Factors'!G$8:K$127,TRUE,TRUE),1,5)</f>
        <v>0.46143295097300707</v>
      </c>
      <c r="D17" s="17">
        <f>INDEX(LINEST('07 Excess'!K$8:K$127,'05 Factors'!G$8:K$127,TRUE,TRUE),1,4)</f>
        <v>-0.37859686548877408</v>
      </c>
      <c r="E17" s="17">
        <f>INDEX(LINEST('07 Excess'!K$8:K$127,'05 Factors'!G$8:K$127,TRUE,TRUE),1,3)</f>
        <v>0.10932394607735395</v>
      </c>
      <c r="F17" s="17">
        <f>INDEX(LINEST('07 Excess'!K$8:K$127,'05 Factors'!G$8:K$127,TRUE,TRUE),1,2)</f>
        <v>0.31037028597142086</v>
      </c>
      <c r="G17" s="17">
        <f>INDEX(LINEST('07 Excess'!K$8:K$127,'05 Factors'!G$8:K$127,TRUE,TRUE),1,1)</f>
        <v>0.46613933227303295</v>
      </c>
      <c r="H17" s="17">
        <f>INDEX(LINEST('07 Excess'!K$8:K$127,'05 Factors'!G$8:K$127,TRUE,TRUE),3,1)</f>
        <v>0.22445741403629055</v>
      </c>
      <c r="I17" s="18">
        <f>INDEX(LINEST('07 Excess'!K$8:K$127,'05 Factors'!G$8:K$127,TRUE,TRUE),5,2)/INDEX(LINEST('07 Excess'!K$8:K$127,'05 Factors'!G$8:K$127,TRUE,TRUE),4,2)</f>
        <v>2.1818601480886909E-3</v>
      </c>
      <c r="J17" s="19">
        <f>COUNT('07 Excess'!K$8:K$127)</f>
        <v>120</v>
      </c>
      <c r="K17" s="7">
        <f>INDEX(LINEST('07 Excess'!K$8:K$127,'05 Factors'!G$8:K$127,TRUE,TRUE),2,6)</f>
        <v>4.4493858163657234E-3</v>
      </c>
    </row>
    <row r="21" spans="1:11" ht="25.95" customHeight="1" x14ac:dyDescent="0.3">
      <c r="A21" s="25" t="s">
        <v>82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30" customHeight="1" x14ac:dyDescent="0.3">
      <c r="A22" s="21" t="s">
        <v>186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30" customHeight="1" x14ac:dyDescent="0.3">
      <c r="A23" s="21" t="s">
        <v>187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30" customHeight="1" x14ac:dyDescent="0.3">
      <c r="A24" s="21" t="s">
        <v>172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30" customHeight="1" x14ac:dyDescent="0.3">
      <c r="A25" s="21" t="s">
        <v>188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30" customHeight="1" x14ac:dyDescent="0.3">
      <c r="A26" s="21" t="s">
        <v>174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30" customHeight="1" x14ac:dyDescent="0.3">
      <c r="A27" s="21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30" customHeight="1" x14ac:dyDescent="0.3">
      <c r="A28" s="21" t="s">
        <v>176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</row>
  </sheetData>
  <mergeCells count="10">
    <mergeCell ref="A28:K28"/>
    <mergeCell ref="A1:K1"/>
    <mergeCell ref="A23:K23"/>
    <mergeCell ref="A27:K27"/>
    <mergeCell ref="A22:K22"/>
    <mergeCell ref="A3:K3"/>
    <mergeCell ref="A21:K21"/>
    <mergeCell ref="A26:K26"/>
    <mergeCell ref="A25:K25"/>
    <mergeCell ref="A24:K24"/>
  </mergeCells>
  <hyperlinks>
    <hyperlink ref="A2" location="'00 Start'!A1" display="Back to guide" xr:uid="{00000000-0004-0000-0B00-000000000000}"/>
  </hyperlinks>
  <printOptions horizontalCentered="1"/>
  <pageMargins left="0.25" right="0.25" top="0.35" bottom="0.35" header="0.5" footer="0.5"/>
  <pageSetup paperSize="9" fitToHeight="0" orientation="landscape"/>
  <headerFooter>
    <oddFooter>&amp;CBFIN | &amp;A |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68B80"/>
    <pageSetUpPr fitToPage="1"/>
  </sheetPr>
  <dimension ref="A1:K26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14" width="13" customWidth="1"/>
  </cols>
  <sheetData>
    <row r="1" spans="1:11" ht="25.95" customHeight="1" x14ac:dyDescent="0.3">
      <c r="A1" s="24" t="s">
        <v>189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5.6" x14ac:dyDescent="0.3">
      <c r="A2" s="1" t="s">
        <v>55</v>
      </c>
    </row>
    <row r="3" spans="1:11" ht="42" customHeight="1" x14ac:dyDescent="0.3">
      <c r="A3" s="21" t="s">
        <v>190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7" spans="1:11" ht="34.049999999999997" customHeight="1" x14ac:dyDescent="0.3">
      <c r="A7" s="4" t="s">
        <v>164</v>
      </c>
      <c r="B7" s="4" t="s">
        <v>191</v>
      </c>
      <c r="C7" s="4" t="s">
        <v>192</v>
      </c>
      <c r="D7" s="4" t="s">
        <v>193</v>
      </c>
      <c r="E7" s="4" t="s">
        <v>194</v>
      </c>
      <c r="F7" s="4" t="s">
        <v>195</v>
      </c>
      <c r="G7" s="4" t="s">
        <v>196</v>
      </c>
      <c r="H7" s="4" t="s">
        <v>197</v>
      </c>
      <c r="I7" s="4" t="s">
        <v>198</v>
      </c>
    </row>
    <row r="8" spans="1:11" x14ac:dyDescent="0.3">
      <c r="A8" s="2" t="s">
        <v>131</v>
      </c>
      <c r="B8" s="7">
        <f>'08 CAPM'!B8</f>
        <v>2.6214739020508068E-2</v>
      </c>
      <c r="C8" s="7">
        <f>'09 FF3'!B8</f>
        <v>2.493562922748415E-2</v>
      </c>
      <c r="D8" s="7">
        <f>'10 Carhart4'!B8</f>
        <v>2.5168731126309272E-2</v>
      </c>
      <c r="E8" s="7">
        <f>'11 FF5'!B8</f>
        <v>2.6199774554711303E-2</v>
      </c>
      <c r="F8" s="17">
        <f>'08 CAPM'!D8</f>
        <v>0.29982822356862188</v>
      </c>
      <c r="G8" s="17">
        <f>'09 FF3'!F8</f>
        <v>0.35503186266852454</v>
      </c>
      <c r="H8" s="17">
        <f>'10 Carhart4'!G8</f>
        <v>0.35544213826054866</v>
      </c>
      <c r="I8" s="17">
        <f>'11 FF5'!H8</f>
        <v>0.37118145555101467</v>
      </c>
    </row>
    <row r="9" spans="1:11" x14ac:dyDescent="0.3">
      <c r="A9" s="2" t="s">
        <v>132</v>
      </c>
      <c r="B9" s="7">
        <f>'08 CAPM'!B9</f>
        <v>4.5510006113203827E-3</v>
      </c>
      <c r="C9" s="7">
        <f>'09 FF3'!B9</f>
        <v>3.8911084928721336E-3</v>
      </c>
      <c r="D9" s="7">
        <f>'10 Carhart4'!B9</f>
        <v>4.27015068395628E-3</v>
      </c>
      <c r="E9" s="7">
        <f>'11 FF5'!B9</f>
        <v>4.9182696847283507E-3</v>
      </c>
      <c r="F9" s="17">
        <f>'08 CAPM'!D9</f>
        <v>0.4320099898765844</v>
      </c>
      <c r="G9" s="17">
        <f>'09 FF3'!F9</f>
        <v>0.60844056063318852</v>
      </c>
      <c r="H9" s="17">
        <f>'10 Carhart4'!G9</f>
        <v>0.6126223917093444</v>
      </c>
      <c r="I9" s="17">
        <f>'11 FF5'!H9</f>
        <v>0.65109280964529204</v>
      </c>
    </row>
    <row r="10" spans="1:11" x14ac:dyDescent="0.3">
      <c r="A10" s="2" t="s">
        <v>133</v>
      </c>
      <c r="B10" s="7">
        <f>'08 CAPM'!B10</f>
        <v>-7.7380798589552335E-3</v>
      </c>
      <c r="C10" s="7">
        <f>'09 FF3'!B10</f>
        <v>-5.8614992482929063E-3</v>
      </c>
      <c r="D10" s="7">
        <f>'10 Carhart4'!B10</f>
        <v>-5.357273263560787E-3</v>
      </c>
      <c r="E10" s="7">
        <f>'11 FF5'!B10</f>
        <v>-5.891801370850421E-3</v>
      </c>
      <c r="F10" s="17">
        <f>'08 CAPM'!D10</f>
        <v>0.39060820297708893</v>
      </c>
      <c r="G10" s="17">
        <f>'09 FF3'!F10</f>
        <v>0.44767969770177618</v>
      </c>
      <c r="H10" s="17">
        <f>'10 Carhart4'!G10</f>
        <v>0.45291888392638108</v>
      </c>
      <c r="I10" s="17">
        <f>'11 FF5'!H10</f>
        <v>0.44871700110346646</v>
      </c>
    </row>
    <row r="11" spans="1:11" x14ac:dyDescent="0.3">
      <c r="A11" s="2" t="s">
        <v>134</v>
      </c>
      <c r="B11" s="7">
        <f>'08 CAPM'!B11</f>
        <v>4.0838570199503103E-3</v>
      </c>
      <c r="C11" s="7">
        <f>'09 FF3'!B11</f>
        <v>4.6692892031383769E-3</v>
      </c>
      <c r="D11" s="7">
        <f>'10 Carhart4'!B11</f>
        <v>4.3508649002492964E-3</v>
      </c>
      <c r="E11" s="7">
        <f>'11 FF5'!B11</f>
        <v>5.7811629065047622E-3</v>
      </c>
      <c r="F11" s="17">
        <f>'08 CAPM'!D11</f>
        <v>0.53731142628612971</v>
      </c>
      <c r="G11" s="17">
        <f>'09 FF3'!F11</f>
        <v>0.74396265077435109</v>
      </c>
      <c r="H11" s="17">
        <f>'10 Carhart4'!G11</f>
        <v>0.74845143591948615</v>
      </c>
      <c r="I11" s="17">
        <f>'11 FF5'!H11</f>
        <v>0.77956635062647306</v>
      </c>
    </row>
    <row r="12" spans="1:11" x14ac:dyDescent="0.3">
      <c r="A12" s="2" t="s">
        <v>135</v>
      </c>
      <c r="B12" s="7">
        <f>'08 CAPM'!B12</f>
        <v>3.4336039468368142E-2</v>
      </c>
      <c r="C12" s="7">
        <f>'09 FF3'!B12</f>
        <v>3.2944033862372497E-2</v>
      </c>
      <c r="D12" s="7">
        <f>'10 Carhart4'!B12</f>
        <v>3.2632362487792312E-2</v>
      </c>
      <c r="E12" s="7">
        <f>'11 FF5'!B12</f>
        <v>3.2383026647343278E-2</v>
      </c>
      <c r="F12" s="17">
        <f>'08 CAPM'!D12</f>
        <v>0.35651823890512119</v>
      </c>
      <c r="G12" s="17">
        <f>'09 FF3'!F12</f>
        <v>0.44707975031495928</v>
      </c>
      <c r="H12" s="17">
        <f>'10 Carhart4'!G12</f>
        <v>0.44820301316744671</v>
      </c>
      <c r="I12" s="17">
        <f>'11 FF5'!H12</f>
        <v>0.45786016345643527</v>
      </c>
    </row>
    <row r="13" spans="1:11" x14ac:dyDescent="0.3">
      <c r="A13" s="2" t="s">
        <v>136</v>
      </c>
      <c r="B13" s="7">
        <f>'08 CAPM'!B13</f>
        <v>-3.6443401739249511E-3</v>
      </c>
      <c r="C13" s="7">
        <f>'09 FF3'!B13</f>
        <v>-4.7813120720336475E-3</v>
      </c>
      <c r="D13" s="7">
        <f>'10 Carhart4'!B13</f>
        <v>-5.1866756326879714E-3</v>
      </c>
      <c r="E13" s="7">
        <f>'11 FF5'!B13</f>
        <v>-6.4299202345108044E-3</v>
      </c>
      <c r="F13" s="17">
        <f>'08 CAPM'!D13</f>
        <v>0.14019324679988346</v>
      </c>
      <c r="G13" s="17">
        <f>'09 FF3'!F13</f>
        <v>0.15879094195791074</v>
      </c>
      <c r="H13" s="17">
        <f>'10 Carhart4'!G13</f>
        <v>0.1671469543460096</v>
      </c>
      <c r="I13" s="17">
        <f>'11 FF5'!H13</f>
        <v>0.2693165978377533</v>
      </c>
    </row>
    <row r="14" spans="1:11" x14ac:dyDescent="0.3">
      <c r="A14" s="2" t="s">
        <v>137</v>
      </c>
      <c r="B14" s="7">
        <f>'08 CAPM'!B14</f>
        <v>-3.8504864071680443E-3</v>
      </c>
      <c r="C14" s="7">
        <f>'09 FF3'!B14</f>
        <v>-3.7732116668649299E-3</v>
      </c>
      <c r="D14" s="7">
        <f>'10 Carhart4'!B14</f>
        <v>-3.8280305385083946E-3</v>
      </c>
      <c r="E14" s="7">
        <f>'11 FF5'!B14</f>
        <v>-4.38274241766109E-3</v>
      </c>
      <c r="F14" s="17">
        <f>'08 CAPM'!D14</f>
        <v>0.26929858935575302</v>
      </c>
      <c r="G14" s="17">
        <f>'09 FF3'!F14</f>
        <v>0.27007728085223215</v>
      </c>
      <c r="H14" s="17">
        <f>'10 Carhart4'!G14</f>
        <v>0.27015912436846512</v>
      </c>
      <c r="I14" s="17">
        <f>'11 FF5'!H14</f>
        <v>0.29515190486433696</v>
      </c>
    </row>
    <row r="15" spans="1:11" x14ac:dyDescent="0.3">
      <c r="A15" s="2" t="s">
        <v>138</v>
      </c>
      <c r="B15" s="7">
        <f>'08 CAPM'!B15</f>
        <v>-5.6273832522830969E-4</v>
      </c>
      <c r="C15" s="7">
        <f>'09 FF3'!B15</f>
        <v>-2.5703587647022265E-5</v>
      </c>
      <c r="D15" s="7">
        <f>'10 Carhart4'!B15</f>
        <v>2.0841808837398183E-4</v>
      </c>
      <c r="E15" s="7">
        <f>'11 FF5'!B15</f>
        <v>-3.2601360694931925E-5</v>
      </c>
      <c r="F15" s="17">
        <f>'08 CAPM'!D15</f>
        <v>0.23954680801538861</v>
      </c>
      <c r="G15" s="17">
        <f>'09 FF3'!F15</f>
        <v>0.49640305942219815</v>
      </c>
      <c r="H15" s="17">
        <f>'10 Carhart4'!G15</f>
        <v>0.49833162761032046</v>
      </c>
      <c r="I15" s="17">
        <f>'11 FF5'!H15</f>
        <v>0.51566653040463017</v>
      </c>
    </row>
    <row r="16" spans="1:11" x14ac:dyDescent="0.3">
      <c r="A16" s="2" t="s">
        <v>139</v>
      </c>
      <c r="B16" s="7">
        <f>'08 CAPM'!B16</f>
        <v>1.0148405070804049E-2</v>
      </c>
      <c r="C16" s="7">
        <f>'09 FF3'!B16</f>
        <v>7.9811432934005187E-3</v>
      </c>
      <c r="D16" s="7">
        <f>'10 Carhart4'!B16</f>
        <v>7.5944024083744802E-3</v>
      </c>
      <c r="E16" s="7">
        <f>'11 FF5'!B16</f>
        <v>7.4482441206235196E-3</v>
      </c>
      <c r="F16" s="17">
        <f>'08 CAPM'!D16</f>
        <v>0.17587425207516647</v>
      </c>
      <c r="G16" s="17">
        <f>'09 FF3'!F16</f>
        <v>0.26125263060449927</v>
      </c>
      <c r="H16" s="17">
        <f>'10 Carhart4'!G16</f>
        <v>0.27275903484132746</v>
      </c>
      <c r="I16" s="17">
        <f>'11 FF5'!H16</f>
        <v>0.27609934263084251</v>
      </c>
    </row>
    <row r="17" spans="1:11" x14ac:dyDescent="0.3">
      <c r="A17" s="2" t="s">
        <v>140</v>
      </c>
      <c r="B17" s="7">
        <f>'08 CAPM'!B17</f>
        <v>-5.9161137903472778E-4</v>
      </c>
      <c r="C17" s="7">
        <f>'09 FF3'!B17</f>
        <v>-2.6962839123294258E-3</v>
      </c>
      <c r="D17" s="7">
        <f>'10 Carhart4'!B17</f>
        <v>-2.5324155740037596E-3</v>
      </c>
      <c r="E17" s="7">
        <f>'11 FF5'!B17</f>
        <v>-3.4047865584938093E-3</v>
      </c>
      <c r="F17" s="17">
        <f>'08 CAPM'!D17</f>
        <v>7.9947157968289093E-2</v>
      </c>
      <c r="G17" s="17">
        <f>'09 FF3'!F17</f>
        <v>0.18774557388639646</v>
      </c>
      <c r="H17" s="17">
        <f>'10 Carhart4'!G17</f>
        <v>0.1899082690333877</v>
      </c>
      <c r="I17" s="17">
        <f>'11 FF5'!H17</f>
        <v>0.22445741403629055</v>
      </c>
    </row>
    <row r="20" spans="1:11" ht="31.95" customHeight="1" x14ac:dyDescent="0.3">
      <c r="A20" s="21" t="s">
        <v>199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</row>
    <row r="23" spans="1:11" ht="25.95" customHeight="1" x14ac:dyDescent="0.3">
      <c r="A23" s="25" t="s">
        <v>82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30" customHeight="1" x14ac:dyDescent="0.3">
      <c r="A24" s="21" t="s">
        <v>200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30" customHeight="1" x14ac:dyDescent="0.3">
      <c r="A25" s="21" t="s">
        <v>201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30" customHeight="1" x14ac:dyDescent="0.3">
      <c r="A26" s="21" t="s">
        <v>202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</row>
  </sheetData>
  <mergeCells count="7">
    <mergeCell ref="A1:K1"/>
    <mergeCell ref="A23:K23"/>
    <mergeCell ref="A20:K20"/>
    <mergeCell ref="A3:K3"/>
    <mergeCell ref="A26:K26"/>
    <mergeCell ref="A25:K25"/>
    <mergeCell ref="A24:K24"/>
  </mergeCells>
  <hyperlinks>
    <hyperlink ref="A2" location="'00 Start'!A1" display="Back to guide" xr:uid="{00000000-0004-0000-0C00-000000000000}"/>
  </hyperlinks>
  <printOptions horizontalCentered="1"/>
  <pageMargins left="0.25" right="0.25" top="0.35" bottom="0.35" header="0.5" footer="0.5"/>
  <pageSetup paperSize="9" fitToHeight="0" orientation="landscape"/>
  <headerFooter>
    <oddFooter>&amp;CBFIN | &amp;A |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68B80"/>
    <pageSetUpPr fitToPage="1"/>
  </sheetPr>
  <dimension ref="A1:K16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14" width="13" customWidth="1"/>
  </cols>
  <sheetData>
    <row r="1" spans="1:11" ht="25.95" customHeight="1" x14ac:dyDescent="0.3">
      <c r="A1" s="24" t="s">
        <v>203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5.6" x14ac:dyDescent="0.3">
      <c r="A2" s="1" t="s">
        <v>55</v>
      </c>
    </row>
    <row r="3" spans="1:11" ht="42" customHeight="1" x14ac:dyDescent="0.3">
      <c r="A3" s="21" t="s">
        <v>204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7" spans="1:11" ht="34.049999999999997" customHeight="1" x14ac:dyDescent="0.3">
      <c r="A7" s="4" t="s">
        <v>58</v>
      </c>
      <c r="B7" s="4" t="s">
        <v>165</v>
      </c>
      <c r="C7" s="4" t="s">
        <v>74</v>
      </c>
      <c r="D7" s="4" t="s">
        <v>75</v>
      </c>
    </row>
    <row r="8" spans="1:11" x14ac:dyDescent="0.3">
      <c r="A8" s="2" t="s">
        <v>165</v>
      </c>
      <c r="B8" s="18">
        <f>_xlfn.COVARIANCE.S('05 Factors'!C$8:C$127,'05 Factors'!C$8:C$127)</f>
        <v>2.0638726323529409E-3</v>
      </c>
      <c r="C8" s="18">
        <f>_xlfn.COVARIANCE.S('05 Factors'!C$8:C$127,'05 Factors'!D$8:D$127)</f>
        <v>4.2233173109243704E-4</v>
      </c>
      <c r="D8" s="18">
        <f>_xlfn.COVARIANCE.S('05 Factors'!C$8:C$127,'05 Factors'!E$8:E$127)</f>
        <v>1.6444462184873998E-5</v>
      </c>
    </row>
    <row r="9" spans="1:11" x14ac:dyDescent="0.3">
      <c r="A9" s="2" t="s">
        <v>74</v>
      </c>
      <c r="B9" s="18">
        <f>_xlfn.COVARIANCE.S('05 Factors'!D$8:D$127,'05 Factors'!C$8:C$127)</f>
        <v>4.2233173109243704E-4</v>
      </c>
      <c r="C9" s="18">
        <f>_xlfn.COVARIANCE.S('05 Factors'!D$8:D$127,'05 Factors'!D$8:D$127)</f>
        <v>7.6539037535014042E-4</v>
      </c>
      <c r="D9" s="18">
        <f>_xlfn.COVARIANCE.S('05 Factors'!D$8:D$127,'05 Factors'!E$8:E$127)</f>
        <v>9.2416705882352913E-5</v>
      </c>
    </row>
    <row r="10" spans="1:11" x14ac:dyDescent="0.3">
      <c r="A10" s="2" t="s">
        <v>75</v>
      </c>
      <c r="B10" s="18">
        <f>_xlfn.COVARIANCE.S('05 Factors'!E$8:E$127,'05 Factors'!C$8:C$127)</f>
        <v>1.6444462184873998E-5</v>
      </c>
      <c r="C10" s="18">
        <f>_xlfn.COVARIANCE.S('05 Factors'!E$8:E$127,'05 Factors'!D$8:D$127)</f>
        <v>9.2416705882352913E-5</v>
      </c>
      <c r="D10" s="18">
        <f>_xlfn.COVARIANCE.S('05 Factors'!E$8:E$127,'05 Factors'!E$8:E$127)</f>
        <v>1.482417546218488E-3</v>
      </c>
    </row>
    <row r="14" spans="1:11" ht="25.95" customHeight="1" x14ac:dyDescent="0.3">
      <c r="A14" s="25" t="s">
        <v>82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30" customHeight="1" x14ac:dyDescent="0.3">
      <c r="A15" s="21" t="s">
        <v>205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30" customHeight="1" x14ac:dyDescent="0.3">
      <c r="A16" s="21" t="s">
        <v>206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</row>
  </sheetData>
  <mergeCells count="5">
    <mergeCell ref="A3:K3"/>
    <mergeCell ref="A15:K15"/>
    <mergeCell ref="A16:K16"/>
    <mergeCell ref="A14:K14"/>
    <mergeCell ref="A1:K1"/>
  </mergeCells>
  <hyperlinks>
    <hyperlink ref="A2" location="'00 Start'!A1" display="Back to guide" xr:uid="{00000000-0004-0000-0D00-000000000000}"/>
  </hyperlinks>
  <printOptions horizontalCentered="1"/>
  <pageMargins left="0.25" right="0.25" top="0.35" bottom="0.35" header="0.5" footer="0.5"/>
  <pageSetup paperSize="9" fitToHeight="0" orientation="landscape"/>
  <headerFooter>
    <oddFooter>&amp;CBFIN | &amp;A |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68B80"/>
    <pageSetUpPr fitToPage="1"/>
  </sheetPr>
  <dimension ref="A1:K27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14" width="13" customWidth="1"/>
  </cols>
  <sheetData>
    <row r="1" spans="1:11" ht="25.95" customHeight="1" x14ac:dyDescent="0.3">
      <c r="A1" s="24" t="s">
        <v>207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5.6" x14ac:dyDescent="0.3">
      <c r="A2" s="1" t="s">
        <v>55</v>
      </c>
    </row>
    <row r="3" spans="1:11" ht="42" customHeight="1" x14ac:dyDescent="0.3">
      <c r="A3" s="21" t="s">
        <v>208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7" spans="1:11" ht="34.049999999999997" customHeight="1" x14ac:dyDescent="0.3">
      <c r="A7" s="4" t="s">
        <v>164</v>
      </c>
      <c r="B7" s="4" t="s">
        <v>131</v>
      </c>
      <c r="C7" s="4" t="s">
        <v>132</v>
      </c>
      <c r="D7" s="4" t="s">
        <v>133</v>
      </c>
      <c r="E7" s="4" t="s">
        <v>134</v>
      </c>
      <c r="F7" s="4" t="s">
        <v>135</v>
      </c>
      <c r="G7" s="4" t="s">
        <v>136</v>
      </c>
      <c r="H7" s="4" t="s">
        <v>137</v>
      </c>
      <c r="I7" s="4" t="s">
        <v>138</v>
      </c>
      <c r="J7" s="4" t="s">
        <v>139</v>
      </c>
      <c r="K7" s="4" t="s">
        <v>140</v>
      </c>
    </row>
    <row r="8" spans="1:11" x14ac:dyDescent="0.3">
      <c r="A8" s="2" t="s">
        <v>131</v>
      </c>
      <c r="B8" s="18">
        <f>'09 FF3'!C8*SUMPRODUCT('13 Factor Cov'!B8:D8,'09 FF3'!C8:E8)+'09 FF3'!D8*SUMPRODUCT('13 Factor Cov'!B9:D9,'09 FF3'!C8:E8)+'09 FF3'!E8*SUMPRODUCT('13 Factor Cov'!B10:D10,'09 FF3'!C8:E8)+'09 FF3'!G8</f>
        <v>2.9227028782576089E-2</v>
      </c>
      <c r="C8" s="18">
        <f>'09 FF3'!C8*SUMPRODUCT('13 Factor Cov'!B8:D8,'09 FF3'!C9:E9)+'09 FF3'!D8*SUMPRODUCT('13 Factor Cov'!B9:D9,'09 FF3'!C9:E9)+'09 FF3'!E8*SUMPRODUCT('13 Factor Cov'!B10:D10,'09 FF3'!C9:E9)</f>
        <v>6.7083140894064457E-3</v>
      </c>
      <c r="D8" s="18">
        <f>'09 FF3'!C8*SUMPRODUCT('13 Factor Cov'!B8:D8,'09 FF3'!C10:E10)+'09 FF3'!D8*SUMPRODUCT('13 Factor Cov'!B9:D9,'09 FF3'!C10:E10)+'09 FF3'!E8*SUMPRODUCT('13 Factor Cov'!B10:D10,'09 FF3'!C10:E10)</f>
        <v>5.0271406222394885E-3</v>
      </c>
      <c r="E8" s="18">
        <f>'09 FF3'!C8*SUMPRODUCT('13 Factor Cov'!B8:D8,'09 FF3'!C11:E11)+'09 FF3'!D8*SUMPRODUCT('13 Factor Cov'!B9:D9,'09 FF3'!C11:E11)+'09 FF3'!E8*SUMPRODUCT('13 Factor Cov'!B10:D10,'09 FF3'!C11:E11)</f>
        <v>3.5025546622935977E-3</v>
      </c>
      <c r="F8" s="18">
        <f>'09 FF3'!C8*SUMPRODUCT('13 Factor Cov'!B8:D8,'09 FF3'!C12:E12)+'09 FF3'!D8*SUMPRODUCT('13 Factor Cov'!B9:D9,'09 FF3'!C12:E12)+'09 FF3'!E8*SUMPRODUCT('13 Factor Cov'!B10:D10,'09 FF3'!C12:E12)</f>
        <v>9.2373556434416394E-3</v>
      </c>
      <c r="G8" s="18">
        <f>'09 FF3'!C8*SUMPRODUCT('13 Factor Cov'!B8:D8,'09 FF3'!C13:E13)+'09 FF3'!D8*SUMPRODUCT('13 Factor Cov'!B9:D9,'09 FF3'!C13:E13)+'09 FF3'!E8*SUMPRODUCT('13 Factor Cov'!B10:D10,'09 FF3'!C13:E13)</f>
        <v>2.1493884312190365E-3</v>
      </c>
      <c r="H8" s="18">
        <f>'09 FF3'!C8*SUMPRODUCT('13 Factor Cov'!B8:D8,'09 FF3'!C14:E14)+'09 FF3'!D8*SUMPRODUCT('13 Factor Cov'!B9:D9,'09 FF3'!C14:E14)+'09 FF3'!E8*SUMPRODUCT('13 Factor Cov'!B10:D10,'09 FF3'!C14:E14)</f>
        <v>4.3917119589601582E-3</v>
      </c>
      <c r="I8" s="18">
        <f>'09 FF3'!C8*SUMPRODUCT('13 Factor Cov'!B8:D8,'09 FF3'!C15:E15)+'09 FF3'!D8*SUMPRODUCT('13 Factor Cov'!B9:D9,'09 FF3'!C15:E15)+'09 FF3'!E8*SUMPRODUCT('13 Factor Cov'!B10:D10,'09 FF3'!C15:E15)</f>
        <v>1.9955547254884298E-3</v>
      </c>
      <c r="J8" s="18">
        <f>'09 FF3'!C8*SUMPRODUCT('13 Factor Cov'!B8:D8,'09 FF3'!C16:E16)+'09 FF3'!D8*SUMPRODUCT('13 Factor Cov'!B9:D9,'09 FF3'!C16:E16)+'09 FF3'!E8*SUMPRODUCT('13 Factor Cov'!B10:D10,'09 FF3'!C16:E16)</f>
        <v>2.4198289189690664E-3</v>
      </c>
      <c r="K8" s="18">
        <f>'09 FF3'!C8*SUMPRODUCT('13 Factor Cov'!B8:D8,'09 FF3'!C17:E17)+'09 FF3'!D8*SUMPRODUCT('13 Factor Cov'!B9:D9,'09 FF3'!C17:E17)+'09 FF3'!E8*SUMPRODUCT('13 Factor Cov'!B10:D10,'09 FF3'!C17:E17)</f>
        <v>1.0988090628684065E-3</v>
      </c>
    </row>
    <row r="9" spans="1:11" x14ac:dyDescent="0.3">
      <c r="A9" s="2" t="s">
        <v>132</v>
      </c>
      <c r="B9" s="18">
        <f>'09 FF3'!C9*SUMPRODUCT('13 Factor Cov'!B8:D8,'09 FF3'!C8:E8)+'09 FF3'!D9*SUMPRODUCT('13 Factor Cov'!B9:D9,'09 FF3'!C8:E8)+'09 FF3'!E9*SUMPRODUCT('13 Factor Cov'!B10:D10,'09 FF3'!C8:E8)</f>
        <v>6.708314089406444E-3</v>
      </c>
      <c r="C9" s="18">
        <f>'09 FF3'!C9*SUMPRODUCT('13 Factor Cov'!B8:D8,'09 FF3'!C9:E9)+'09 FF3'!D9*SUMPRODUCT('13 Factor Cov'!B9:D9,'09 FF3'!C9:E9)+'09 FF3'!E9*SUMPRODUCT('13 Factor Cov'!B10:D10,'09 FF3'!C9:E9)+'09 FF3'!G9</f>
        <v>7.533013716281174E-3</v>
      </c>
      <c r="D9" s="18">
        <f>'09 FF3'!C9*SUMPRODUCT('13 Factor Cov'!B8:D8,'09 FF3'!C10:E10)+'09 FF3'!D9*SUMPRODUCT('13 Factor Cov'!B9:D9,'09 FF3'!C10:E10)+'09 FF3'!E9*SUMPRODUCT('13 Factor Cov'!B10:D10,'09 FF3'!C10:E10)</f>
        <v>2.8254221395307751E-3</v>
      </c>
      <c r="E9" s="18">
        <f>'09 FF3'!C9*SUMPRODUCT('13 Factor Cov'!B8:D8,'09 FF3'!C11:E11)+'09 FF3'!D9*SUMPRODUCT('13 Factor Cov'!B9:D9,'09 FF3'!C11:E11)+'09 FF3'!E9*SUMPRODUCT('13 Factor Cov'!B10:D10,'09 FF3'!C11:E11)</f>
        <v>1.7587230043213534E-3</v>
      </c>
      <c r="F9" s="18">
        <f>'09 FF3'!C9*SUMPRODUCT('13 Factor Cov'!B8:D8,'09 FF3'!C12:E12)+'09 FF3'!D9*SUMPRODUCT('13 Factor Cov'!B9:D9,'09 FF3'!C12:E12)+'09 FF3'!E9*SUMPRODUCT('13 Factor Cov'!B10:D10,'09 FF3'!C12:E12)</f>
        <v>6.1307321883050095E-3</v>
      </c>
      <c r="G9" s="18">
        <f>'09 FF3'!C9*SUMPRODUCT('13 Factor Cov'!B8:D8,'09 FF3'!C13:E13)+'09 FF3'!D9*SUMPRODUCT('13 Factor Cov'!B9:D9,'09 FF3'!C13:E13)+'09 FF3'!E9*SUMPRODUCT('13 Factor Cov'!B10:D10,'09 FF3'!C13:E13)</f>
        <v>1.2498093423269636E-3</v>
      </c>
      <c r="H9" s="18">
        <f>'09 FF3'!C9*SUMPRODUCT('13 Factor Cov'!B8:D8,'09 FF3'!C14:E14)+'09 FF3'!D9*SUMPRODUCT('13 Factor Cov'!B9:D9,'09 FF3'!C14:E14)+'09 FF3'!E9*SUMPRODUCT('13 Factor Cov'!B10:D10,'09 FF3'!C14:E14)</f>
        <v>2.7151629637624207E-3</v>
      </c>
      <c r="I9" s="18">
        <f>'09 FF3'!C9*SUMPRODUCT('13 Factor Cov'!B8:D8,'09 FF3'!C15:E15)+'09 FF3'!D9*SUMPRODUCT('13 Factor Cov'!B9:D9,'09 FF3'!C15:E15)+'09 FF3'!E9*SUMPRODUCT('13 Factor Cov'!B10:D10,'09 FF3'!C15:E15)</f>
        <v>7.3878266931601071E-4</v>
      </c>
      <c r="J9" s="18">
        <f>'09 FF3'!C9*SUMPRODUCT('13 Factor Cov'!B8:D8,'09 FF3'!C16:E16)+'09 FF3'!D9*SUMPRODUCT('13 Factor Cov'!B9:D9,'09 FF3'!C16:E16)+'09 FF3'!E9*SUMPRODUCT('13 Factor Cov'!B10:D10,'09 FF3'!C16:E16)</f>
        <v>1.5400082915334652E-3</v>
      </c>
      <c r="K9" s="18">
        <f>'09 FF3'!C9*SUMPRODUCT('13 Factor Cov'!B8:D8,'09 FF3'!C17:E17)+'09 FF3'!D9*SUMPRODUCT('13 Factor Cov'!B9:D9,'09 FF3'!C17:E17)+'09 FF3'!E9*SUMPRODUCT('13 Factor Cov'!B10:D10,'09 FF3'!C17:E17)</f>
        <v>5.4068190798451786E-4</v>
      </c>
    </row>
    <row r="10" spans="1:11" x14ac:dyDescent="0.3">
      <c r="A10" s="2" t="s">
        <v>133</v>
      </c>
      <c r="B10" s="18">
        <f>'09 FF3'!C10*SUMPRODUCT('13 Factor Cov'!B8:D8,'09 FF3'!C8:E8)+'09 FF3'!D10*SUMPRODUCT('13 Factor Cov'!B9:D9,'09 FF3'!C8:E8)+'09 FF3'!E10*SUMPRODUCT('13 Factor Cov'!B10:D10,'09 FF3'!C8:E8)</f>
        <v>5.0271406222394885E-3</v>
      </c>
      <c r="C10" s="18">
        <f>'09 FF3'!C10*SUMPRODUCT('13 Factor Cov'!B8:D8,'09 FF3'!C9:E9)+'09 FF3'!D10*SUMPRODUCT('13 Factor Cov'!B9:D9,'09 FF3'!C9:E9)+'09 FF3'!E10*SUMPRODUCT('13 Factor Cov'!B10:D10,'09 FF3'!C9:E9)</f>
        <v>2.8254221395307756E-3</v>
      </c>
      <c r="D10" s="18">
        <f>'09 FF3'!C10*SUMPRODUCT('13 Factor Cov'!B8:D8,'09 FF3'!C10:E10)+'09 FF3'!D10*SUMPRODUCT('13 Factor Cov'!B9:D9,'09 FF3'!C10:E10)+'09 FF3'!E10*SUMPRODUCT('13 Factor Cov'!B10:D10,'09 FF3'!C10:E10)+'09 FF3'!G10</f>
        <v>1.0683919389722702E-2</v>
      </c>
      <c r="E10" s="18">
        <f>'09 FF3'!C10*SUMPRODUCT('13 Factor Cov'!B8:D8,'09 FF3'!C11:E11)+'09 FF3'!D10*SUMPRODUCT('13 Factor Cov'!B9:D9,'09 FF3'!C11:E11)+'09 FF3'!E10*SUMPRODUCT('13 Factor Cov'!B10:D10,'09 FF3'!C11:E11)</f>
        <v>4.008293506631502E-3</v>
      </c>
      <c r="F10" s="18">
        <f>'09 FF3'!C10*SUMPRODUCT('13 Factor Cov'!B8:D8,'09 FF3'!C12:E12)+'09 FF3'!D10*SUMPRODUCT('13 Factor Cov'!B9:D9,'09 FF3'!C12:E12)+'09 FF3'!E10*SUMPRODUCT('13 Factor Cov'!B10:D10,'09 FF3'!C12:E12)</f>
        <v>4.2834612836620579E-3</v>
      </c>
      <c r="G10" s="18">
        <f>'09 FF3'!C10*SUMPRODUCT('13 Factor Cov'!B8:D8,'09 FF3'!C13:E13)+'09 FF3'!D10*SUMPRODUCT('13 Factor Cov'!B9:D9,'09 FF3'!C13:E13)+'09 FF3'!E10*SUMPRODUCT('13 Factor Cov'!B10:D10,'09 FF3'!C13:E13)</f>
        <v>1.5762897605540254E-3</v>
      </c>
      <c r="H10" s="18">
        <f>'09 FF3'!C10*SUMPRODUCT('13 Factor Cov'!B8:D8,'09 FF3'!C14:E14)+'09 FF3'!D10*SUMPRODUCT('13 Factor Cov'!B9:D9,'09 FF3'!C14:E14)+'09 FF3'!E10*SUMPRODUCT('13 Factor Cov'!B10:D10,'09 FF3'!C14:E14)</f>
        <v>2.9265135351026579E-3</v>
      </c>
      <c r="I10" s="18">
        <f>'09 FF3'!C10*SUMPRODUCT('13 Factor Cov'!B8:D8,'09 FF3'!C15:E15)+'09 FF3'!D10*SUMPRODUCT('13 Factor Cov'!B9:D9,'09 FF3'!C15:E15)+'09 FF3'!E10*SUMPRODUCT('13 Factor Cov'!B10:D10,'09 FF3'!C15:E15)</f>
        <v>3.348067648021934E-3</v>
      </c>
      <c r="J10" s="18">
        <f>'09 FF3'!C10*SUMPRODUCT('13 Factor Cov'!B8:D8,'09 FF3'!C16:E16)+'09 FF3'!D10*SUMPRODUCT('13 Factor Cov'!B9:D9,'09 FF3'!C16:E16)+'09 FF3'!E10*SUMPRODUCT('13 Factor Cov'!B10:D10,'09 FF3'!C16:E16)</f>
        <v>1.1256063225286467E-3</v>
      </c>
      <c r="K10" s="18">
        <f>'09 FF3'!C10*SUMPRODUCT('13 Factor Cov'!B8:D8,'09 FF3'!C17:E17)+'09 FF3'!D10*SUMPRODUCT('13 Factor Cov'!B9:D9,'09 FF3'!C17:E17)+'09 FF3'!E10*SUMPRODUCT('13 Factor Cov'!B10:D10,'09 FF3'!C17:E17)</f>
        <v>9.7581856306488198E-4</v>
      </c>
    </row>
    <row r="11" spans="1:11" x14ac:dyDescent="0.3">
      <c r="A11" s="2" t="s">
        <v>134</v>
      </c>
      <c r="B11" s="18">
        <f>'09 FF3'!C11*SUMPRODUCT('13 Factor Cov'!B8:D8,'09 FF3'!C8:E8)+'09 FF3'!D11*SUMPRODUCT('13 Factor Cov'!B9:D9,'09 FF3'!C8:E8)+'09 FF3'!E11*SUMPRODUCT('13 Factor Cov'!B10:D10,'09 FF3'!C8:E8)</f>
        <v>3.5025546622935969E-3</v>
      </c>
      <c r="C11" s="18">
        <f>'09 FF3'!C11*SUMPRODUCT('13 Factor Cov'!B8:D8,'09 FF3'!C9:E9)+'09 FF3'!D11*SUMPRODUCT('13 Factor Cov'!B9:D9,'09 FF3'!C9:E9)+'09 FF3'!E11*SUMPRODUCT('13 Factor Cov'!B10:D10,'09 FF3'!C9:E9)</f>
        <v>1.7587230043213536E-3</v>
      </c>
      <c r="D11" s="18">
        <f>'09 FF3'!C11*SUMPRODUCT('13 Factor Cov'!B8:D8,'09 FF3'!C10:E10)+'09 FF3'!D11*SUMPRODUCT('13 Factor Cov'!B9:D9,'09 FF3'!C10:E10)+'09 FF3'!E11*SUMPRODUCT('13 Factor Cov'!B10:D10,'09 FF3'!C10:E10)</f>
        <v>4.008293506631502E-3</v>
      </c>
      <c r="E11" s="18">
        <f>'09 FF3'!C11*SUMPRODUCT('13 Factor Cov'!B8:D8,'09 FF3'!C11:E11)+'09 FF3'!D11*SUMPRODUCT('13 Factor Cov'!B9:D9,'09 FF3'!C11:E11)+'09 FF3'!E11*SUMPRODUCT('13 Factor Cov'!B10:D10,'09 FF3'!C11:E11)+'09 FF3'!G11</f>
        <v>4.935534812903505E-3</v>
      </c>
      <c r="F11" s="18">
        <f>'09 FF3'!C11*SUMPRODUCT('13 Factor Cov'!B8:D8,'09 FF3'!C12:E12)+'09 FF3'!D11*SUMPRODUCT('13 Factor Cov'!B9:D9,'09 FF3'!C12:E12)+'09 FF3'!E11*SUMPRODUCT('13 Factor Cov'!B10:D10,'09 FF3'!C12:E12)</f>
        <v>2.8934922989004132E-3</v>
      </c>
      <c r="G11" s="18">
        <f>'09 FF3'!C11*SUMPRODUCT('13 Factor Cov'!B8:D8,'09 FF3'!C13:E13)+'09 FF3'!D11*SUMPRODUCT('13 Factor Cov'!B9:D9,'09 FF3'!C13:E13)+'09 FF3'!E11*SUMPRODUCT('13 Factor Cov'!B10:D10,'09 FF3'!C13:E13)</f>
        <v>1.3769521616337256E-3</v>
      </c>
      <c r="H11" s="18">
        <f>'09 FF3'!C11*SUMPRODUCT('13 Factor Cov'!B8:D8,'09 FF3'!C14:E14)+'09 FF3'!D11*SUMPRODUCT('13 Factor Cov'!B9:D9,'09 FF3'!C14:E14)+'09 FF3'!E11*SUMPRODUCT('13 Factor Cov'!B10:D10,'09 FF3'!C14:E14)</f>
        <v>2.3028564678662248E-3</v>
      </c>
      <c r="I11" s="18">
        <f>'09 FF3'!C11*SUMPRODUCT('13 Factor Cov'!B8:D8,'09 FF3'!C15:E15)+'09 FF3'!D11*SUMPRODUCT('13 Factor Cov'!B9:D9,'09 FF3'!C15:E15)+'09 FF3'!E11*SUMPRODUCT('13 Factor Cov'!B10:D10,'09 FF3'!C15:E15)</f>
        <v>3.23957811359333E-3</v>
      </c>
      <c r="J11" s="18">
        <f>'09 FF3'!C11*SUMPRODUCT('13 Factor Cov'!B8:D8,'09 FF3'!C16:E16)+'09 FF3'!D11*SUMPRODUCT('13 Factor Cov'!B9:D9,'09 FF3'!C16:E16)+'09 FF3'!E11*SUMPRODUCT('13 Factor Cov'!B10:D10,'09 FF3'!C16:E16)</f>
        <v>9.0095478308919931E-4</v>
      </c>
      <c r="K11" s="18">
        <f>'09 FF3'!C11*SUMPRODUCT('13 Factor Cov'!B8:D8,'09 FF3'!C17:E17)+'09 FF3'!D11*SUMPRODUCT('13 Factor Cov'!B9:D9,'09 FF3'!C17:E17)+'09 FF3'!E11*SUMPRODUCT('13 Factor Cov'!B10:D10,'09 FF3'!C17:E17)</f>
        <v>1.0094586285703134E-3</v>
      </c>
    </row>
    <row r="12" spans="1:11" x14ac:dyDescent="0.3">
      <c r="A12" s="2" t="s">
        <v>135</v>
      </c>
      <c r="B12" s="18">
        <f>'09 FF3'!C12*SUMPRODUCT('13 Factor Cov'!B8:D8,'09 FF3'!C8:E8)+'09 FF3'!D12*SUMPRODUCT('13 Factor Cov'!B9:D9,'09 FF3'!C8:E8)+'09 FF3'!E12*SUMPRODUCT('13 Factor Cov'!B10:D10,'09 FF3'!C8:E8)</f>
        <v>9.2373556434416377E-3</v>
      </c>
      <c r="C12" s="18">
        <f>'09 FF3'!C12*SUMPRODUCT('13 Factor Cov'!B8:D8,'09 FF3'!C9:E9)+'09 FF3'!D12*SUMPRODUCT('13 Factor Cov'!B9:D9,'09 FF3'!C9:E9)+'09 FF3'!E12*SUMPRODUCT('13 Factor Cov'!B10:D10,'09 FF3'!C9:E9)</f>
        <v>6.1307321883050103E-3</v>
      </c>
      <c r="D12" s="18">
        <f>'09 FF3'!C12*SUMPRODUCT('13 Factor Cov'!B8:D8,'09 FF3'!C10:E10)+'09 FF3'!D12*SUMPRODUCT('13 Factor Cov'!B9:D9,'09 FF3'!C10:E10)+'09 FF3'!E12*SUMPRODUCT('13 Factor Cov'!B10:D10,'09 FF3'!C10:E10)</f>
        <v>4.2834612836620571E-3</v>
      </c>
      <c r="E12" s="18">
        <f>'09 FF3'!C12*SUMPRODUCT('13 Factor Cov'!B8:D8,'09 FF3'!C11:E11)+'09 FF3'!D12*SUMPRODUCT('13 Factor Cov'!B9:D9,'09 FF3'!C11:E11)+'09 FF3'!E12*SUMPRODUCT('13 Factor Cov'!B10:D10,'09 FF3'!C11:E11)</f>
        <v>2.8934922989004132E-3</v>
      </c>
      <c r="F12" s="18">
        <f>'09 FF3'!C12*SUMPRODUCT('13 Factor Cov'!B8:D8,'09 FF3'!C12:E12)+'09 FF3'!D12*SUMPRODUCT('13 Factor Cov'!B9:D9,'09 FF3'!C12:E12)+'09 FF3'!E12*SUMPRODUCT('13 Factor Cov'!B10:D10,'09 FF3'!C12:E12)+'09 FF3'!G12</f>
        <v>1.903983025731356E-2</v>
      </c>
      <c r="G12" s="18">
        <f>'09 FF3'!C12*SUMPRODUCT('13 Factor Cov'!B8:D8,'09 FF3'!C13:E13)+'09 FF3'!D12*SUMPRODUCT('13 Factor Cov'!B9:D9,'09 FF3'!C13:E13)+'09 FF3'!E12*SUMPRODUCT('13 Factor Cov'!B10:D10,'09 FF3'!C13:E13)</f>
        <v>1.8790998247654213E-3</v>
      </c>
      <c r="H12" s="18">
        <f>'09 FF3'!C12*SUMPRODUCT('13 Factor Cov'!B8:D8,'09 FF3'!C14:E14)+'09 FF3'!D12*SUMPRODUCT('13 Factor Cov'!B9:D9,'09 FF3'!C14:E14)+'09 FF3'!E12*SUMPRODUCT('13 Factor Cov'!B10:D10,'09 FF3'!C14:E14)</f>
        <v>3.8832402905721185E-3</v>
      </c>
      <c r="I12" s="18">
        <f>'09 FF3'!C12*SUMPRODUCT('13 Factor Cov'!B8:D8,'09 FF3'!C15:E15)+'09 FF3'!D12*SUMPRODUCT('13 Factor Cov'!B9:D9,'09 FF3'!C15:E15)+'09 FF3'!E12*SUMPRODUCT('13 Factor Cov'!B10:D10,'09 FF3'!C15:E15)</f>
        <v>1.5187372152597543E-3</v>
      </c>
      <c r="J12" s="18">
        <f>'09 FF3'!C12*SUMPRODUCT('13 Factor Cov'!B8:D8,'09 FF3'!C16:E16)+'09 FF3'!D12*SUMPRODUCT('13 Factor Cov'!B9:D9,'09 FF3'!C16:E16)+'09 FF3'!E12*SUMPRODUCT('13 Factor Cov'!B10:D10,'09 FF3'!C16:E16)</f>
        <v>2.192227576599301E-3</v>
      </c>
      <c r="K12" s="18">
        <f>'09 FF3'!C12*SUMPRODUCT('13 Factor Cov'!B8:D8,'09 FF3'!C17:E17)+'09 FF3'!D12*SUMPRODUCT('13 Factor Cov'!B9:D9,'09 FF3'!C17:E17)+'09 FF3'!E12*SUMPRODUCT('13 Factor Cov'!B10:D10,'09 FF3'!C17:E17)</f>
        <v>9.3489118753795606E-4</v>
      </c>
    </row>
    <row r="13" spans="1:11" x14ac:dyDescent="0.3">
      <c r="A13" s="2" t="s">
        <v>136</v>
      </c>
      <c r="B13" s="18">
        <f>'09 FF3'!C13*SUMPRODUCT('13 Factor Cov'!B8:D8,'09 FF3'!C8:E8)+'09 FF3'!D13*SUMPRODUCT('13 Factor Cov'!B9:D9,'09 FF3'!C8:E8)+'09 FF3'!E13*SUMPRODUCT('13 Factor Cov'!B10:D10,'09 FF3'!C8:E8)</f>
        <v>2.1493884312190361E-3</v>
      </c>
      <c r="C13" s="18">
        <f>'09 FF3'!C13*SUMPRODUCT('13 Factor Cov'!B8:D8,'09 FF3'!C9:E9)+'09 FF3'!D13*SUMPRODUCT('13 Factor Cov'!B9:D9,'09 FF3'!C9:E9)+'09 FF3'!E13*SUMPRODUCT('13 Factor Cov'!B10:D10,'09 FF3'!C9:E9)</f>
        <v>1.2498093423269638E-3</v>
      </c>
      <c r="D13" s="18">
        <f>'09 FF3'!C13*SUMPRODUCT('13 Factor Cov'!B8:D8,'09 FF3'!C10:E10)+'09 FF3'!D13*SUMPRODUCT('13 Factor Cov'!B9:D9,'09 FF3'!C10:E10)+'09 FF3'!E13*SUMPRODUCT('13 Factor Cov'!B10:D10,'09 FF3'!C10:E10)</f>
        <v>1.5762897605540252E-3</v>
      </c>
      <c r="E13" s="18">
        <f>'09 FF3'!C13*SUMPRODUCT('13 Factor Cov'!B8:D8,'09 FF3'!C11:E11)+'09 FF3'!D13*SUMPRODUCT('13 Factor Cov'!B9:D9,'09 FF3'!C11:E11)+'09 FF3'!E13*SUMPRODUCT('13 Factor Cov'!B10:D10,'09 FF3'!C11:E11)</f>
        <v>1.3769521616337254E-3</v>
      </c>
      <c r="F13" s="18">
        <f>'09 FF3'!C13*SUMPRODUCT('13 Factor Cov'!B8:D8,'09 FF3'!C12:E12)+'09 FF3'!D13*SUMPRODUCT('13 Factor Cov'!B9:D9,'09 FF3'!C12:E12)+'09 FF3'!E13*SUMPRODUCT('13 Factor Cov'!B10:D10,'09 FF3'!C12:E12)</f>
        <v>1.8790998247654213E-3</v>
      </c>
      <c r="G13" s="18">
        <f>'09 FF3'!C13*SUMPRODUCT('13 Factor Cov'!B8:D8,'09 FF3'!C13:E13)+'09 FF3'!D13*SUMPRODUCT('13 Factor Cov'!B9:D9,'09 FF3'!C13:E13)+'09 FF3'!E13*SUMPRODUCT('13 Factor Cov'!B10:D10,'09 FF3'!C13:E13)+'09 FF3'!G13</f>
        <v>4.3613569948884965E-3</v>
      </c>
      <c r="H13" s="18">
        <f>'09 FF3'!C13*SUMPRODUCT('13 Factor Cov'!B8:D8,'09 FF3'!C14:E14)+'09 FF3'!D13*SUMPRODUCT('13 Factor Cov'!B9:D9,'09 FF3'!C14:E14)+'09 FF3'!E13*SUMPRODUCT('13 Factor Cov'!B10:D10,'09 FF3'!C14:E14)</f>
        <v>1.1178385031082505E-3</v>
      </c>
      <c r="I13" s="18">
        <f>'09 FF3'!C13*SUMPRODUCT('13 Factor Cov'!B8:D8,'09 FF3'!C15:E15)+'09 FF3'!D13*SUMPRODUCT('13 Factor Cov'!B9:D9,'09 FF3'!C15:E15)+'09 FF3'!E13*SUMPRODUCT('13 Factor Cov'!B10:D10,'09 FF3'!C15:E15)</f>
        <v>1.1025501951163396E-3</v>
      </c>
      <c r="J13" s="18">
        <f>'09 FF3'!C13*SUMPRODUCT('13 Factor Cov'!B8:D8,'09 FF3'!C16:E16)+'09 FF3'!D13*SUMPRODUCT('13 Factor Cov'!B9:D9,'09 FF3'!C16:E16)+'09 FF3'!E13*SUMPRODUCT('13 Factor Cov'!B10:D10,'09 FF3'!C16:E16)</f>
        <v>6.2480255983336395E-4</v>
      </c>
      <c r="K13" s="18">
        <f>'09 FF3'!C13*SUMPRODUCT('13 Factor Cov'!B8:D8,'09 FF3'!C17:E17)+'09 FF3'!D13*SUMPRODUCT('13 Factor Cov'!B9:D9,'09 FF3'!C17:E17)+'09 FF3'!E13*SUMPRODUCT('13 Factor Cov'!B10:D10,'09 FF3'!C17:E17)</f>
        <v>5.1076316284745342E-4</v>
      </c>
    </row>
    <row r="14" spans="1:11" x14ac:dyDescent="0.3">
      <c r="A14" s="2" t="s">
        <v>137</v>
      </c>
      <c r="B14" s="18">
        <f>'09 FF3'!C14*SUMPRODUCT('13 Factor Cov'!B8:D8,'09 FF3'!C8:E8)+'09 FF3'!D14*SUMPRODUCT('13 Factor Cov'!B9:D9,'09 FF3'!C8:E8)+'09 FF3'!E14*SUMPRODUCT('13 Factor Cov'!B10:D10,'09 FF3'!C8:E8)</f>
        <v>4.3917119589601582E-3</v>
      </c>
      <c r="C14" s="18">
        <f>'09 FF3'!C14*SUMPRODUCT('13 Factor Cov'!B8:D8,'09 FF3'!C9:E9)+'09 FF3'!D14*SUMPRODUCT('13 Factor Cov'!B9:D9,'09 FF3'!C9:E9)+'09 FF3'!E14*SUMPRODUCT('13 Factor Cov'!B10:D10,'09 FF3'!C9:E9)</f>
        <v>2.7151629637624207E-3</v>
      </c>
      <c r="D14" s="18">
        <f>'09 FF3'!C14*SUMPRODUCT('13 Factor Cov'!B8:D8,'09 FF3'!C10:E10)+'09 FF3'!D14*SUMPRODUCT('13 Factor Cov'!B9:D9,'09 FF3'!C10:E10)+'09 FF3'!E14*SUMPRODUCT('13 Factor Cov'!B10:D10,'09 FF3'!C10:E10)</f>
        <v>2.9265135351026579E-3</v>
      </c>
      <c r="E14" s="18">
        <f>'09 FF3'!C14*SUMPRODUCT('13 Factor Cov'!B8:D8,'09 FF3'!C11:E11)+'09 FF3'!D14*SUMPRODUCT('13 Factor Cov'!B9:D9,'09 FF3'!C11:E11)+'09 FF3'!E14*SUMPRODUCT('13 Factor Cov'!B10:D10,'09 FF3'!C11:E11)</f>
        <v>2.3028564678662248E-3</v>
      </c>
      <c r="F14" s="18">
        <f>'09 FF3'!C14*SUMPRODUCT('13 Factor Cov'!B8:D8,'09 FF3'!C12:E12)+'09 FF3'!D14*SUMPRODUCT('13 Factor Cov'!B9:D9,'09 FF3'!C12:E12)+'09 FF3'!E14*SUMPRODUCT('13 Factor Cov'!B10:D10,'09 FF3'!C12:E12)</f>
        <v>3.8832402905721185E-3</v>
      </c>
      <c r="G14" s="18">
        <f>'09 FF3'!C14*SUMPRODUCT('13 Factor Cov'!B8:D8,'09 FF3'!C13:E13)+'09 FF3'!D14*SUMPRODUCT('13 Factor Cov'!B9:D9,'09 FF3'!C13:E13)+'09 FF3'!E14*SUMPRODUCT('13 Factor Cov'!B10:D10,'09 FF3'!C13:E13)</f>
        <v>1.1178385031082505E-3</v>
      </c>
      <c r="H14" s="18">
        <f>'09 FF3'!C14*SUMPRODUCT('13 Factor Cov'!B8:D8,'09 FF3'!C14:E14)+'09 FF3'!D14*SUMPRODUCT('13 Factor Cov'!B9:D9,'09 FF3'!C14:E14)+'09 FF3'!E14*SUMPRODUCT('13 Factor Cov'!B10:D10,'09 FF3'!C14:E14)+'09 FF3'!G14</f>
        <v>8.120488420579287E-3</v>
      </c>
      <c r="I14" s="18">
        <f>'09 FF3'!C14*SUMPRODUCT('13 Factor Cov'!B8:D8,'09 FF3'!C15:E15)+'09 FF3'!D14*SUMPRODUCT('13 Factor Cov'!B9:D9,'09 FF3'!C15:E15)+'09 FF3'!E14*SUMPRODUCT('13 Factor Cov'!B10:D10,'09 FF3'!C15:E15)</f>
        <v>1.6861317410539107E-3</v>
      </c>
      <c r="J14" s="18">
        <f>'09 FF3'!C14*SUMPRODUCT('13 Factor Cov'!B8:D8,'09 FF3'!C16:E16)+'09 FF3'!D14*SUMPRODUCT('13 Factor Cov'!B9:D9,'09 FF3'!C16:E16)+'09 FF3'!E14*SUMPRODUCT('13 Factor Cov'!B10:D10,'09 FF3'!C16:E16)</f>
        <v>1.0390981464909888E-3</v>
      </c>
      <c r="K14" s="18">
        <f>'09 FF3'!C14*SUMPRODUCT('13 Factor Cov'!B8:D8,'09 FF3'!C17:E17)+'09 FF3'!D14*SUMPRODUCT('13 Factor Cov'!B9:D9,'09 FF3'!C17:E17)+'09 FF3'!E14*SUMPRODUCT('13 Factor Cov'!B10:D10,'09 FF3'!C17:E17)</f>
        <v>6.4898784851279698E-4</v>
      </c>
    </row>
    <row r="15" spans="1:11" x14ac:dyDescent="0.3">
      <c r="A15" s="2" t="s">
        <v>138</v>
      </c>
      <c r="B15" s="18">
        <f>'09 FF3'!C15*SUMPRODUCT('13 Factor Cov'!B8:D8,'09 FF3'!C8:E8)+'09 FF3'!D15*SUMPRODUCT('13 Factor Cov'!B9:D9,'09 FF3'!C8:E8)+'09 FF3'!E15*SUMPRODUCT('13 Factor Cov'!B10:D10,'09 FF3'!C8:E8)</f>
        <v>1.9955547254884307E-3</v>
      </c>
      <c r="C15" s="18">
        <f>'09 FF3'!C15*SUMPRODUCT('13 Factor Cov'!B8:D8,'09 FF3'!C9:E9)+'09 FF3'!D15*SUMPRODUCT('13 Factor Cov'!B9:D9,'09 FF3'!C9:E9)+'09 FF3'!E15*SUMPRODUCT('13 Factor Cov'!B10:D10,'09 FF3'!C9:E9)</f>
        <v>7.3878266931601136E-4</v>
      </c>
      <c r="D15" s="18">
        <f>'09 FF3'!C15*SUMPRODUCT('13 Factor Cov'!B8:D8,'09 FF3'!C10:E10)+'09 FF3'!D15*SUMPRODUCT('13 Factor Cov'!B9:D9,'09 FF3'!C10:E10)+'09 FF3'!E15*SUMPRODUCT('13 Factor Cov'!B10:D10,'09 FF3'!C10:E10)</f>
        <v>3.3480676480219344E-3</v>
      </c>
      <c r="E15" s="18">
        <f>'09 FF3'!C15*SUMPRODUCT('13 Factor Cov'!B8:D8,'09 FF3'!C11:E11)+'09 FF3'!D15*SUMPRODUCT('13 Factor Cov'!B9:D9,'09 FF3'!C11:E11)+'09 FF3'!E15*SUMPRODUCT('13 Factor Cov'!B10:D10,'09 FF3'!C11:E11)</f>
        <v>3.23957811359333E-3</v>
      </c>
      <c r="F15" s="18">
        <f>'09 FF3'!C15*SUMPRODUCT('13 Factor Cov'!B8:D8,'09 FF3'!C12:E12)+'09 FF3'!D15*SUMPRODUCT('13 Factor Cov'!B9:D9,'09 FF3'!C12:E12)+'09 FF3'!E15*SUMPRODUCT('13 Factor Cov'!B10:D10,'09 FF3'!C12:E12)</f>
        <v>1.5187372152597541E-3</v>
      </c>
      <c r="G15" s="18">
        <f>'09 FF3'!C15*SUMPRODUCT('13 Factor Cov'!B8:D8,'09 FF3'!C13:E13)+'09 FF3'!D15*SUMPRODUCT('13 Factor Cov'!B9:D9,'09 FF3'!C13:E13)+'09 FF3'!E15*SUMPRODUCT('13 Factor Cov'!B10:D10,'09 FF3'!C13:E13)</f>
        <v>1.1025501951163399E-3</v>
      </c>
      <c r="H15" s="18">
        <f>'09 FF3'!C15*SUMPRODUCT('13 Factor Cov'!B8:D8,'09 FF3'!C14:E14)+'09 FF3'!D15*SUMPRODUCT('13 Factor Cov'!B9:D9,'09 FF3'!C14:E14)+'09 FF3'!E15*SUMPRODUCT('13 Factor Cov'!B10:D10,'09 FF3'!C14:E14)</f>
        <v>1.6861317410539109E-3</v>
      </c>
      <c r="I15" s="18">
        <f>'09 FF3'!C15*SUMPRODUCT('13 Factor Cov'!B8:D8,'09 FF3'!C15:E15)+'09 FF3'!D15*SUMPRODUCT('13 Factor Cov'!B9:D9,'09 FF3'!C15:E15)+'09 FF3'!E15*SUMPRODUCT('13 Factor Cov'!B10:D10,'09 FF3'!C15:E15)+'09 FF3'!G15</f>
        <v>6.2496020685164745E-3</v>
      </c>
      <c r="J15" s="18">
        <f>'09 FF3'!C15*SUMPRODUCT('13 Factor Cov'!B8:D8,'09 FF3'!C16:E16)+'09 FF3'!D15*SUMPRODUCT('13 Factor Cov'!B9:D9,'09 FF3'!C16:E16)+'09 FF3'!E15*SUMPRODUCT('13 Factor Cov'!B10:D10,'09 FF3'!C16:E16)</f>
        <v>5.7091488660988951E-4</v>
      </c>
      <c r="K15" s="18">
        <f>'09 FF3'!C15*SUMPRODUCT('13 Factor Cov'!B8:D8,'09 FF3'!C17:E17)+'09 FF3'!D15*SUMPRODUCT('13 Factor Cov'!B9:D9,'09 FF3'!C17:E17)+'09 FF3'!E15*SUMPRODUCT('13 Factor Cov'!B10:D10,'09 FF3'!C17:E17)</f>
        <v>9.0383153875079247E-4</v>
      </c>
    </row>
    <row r="16" spans="1:11" x14ac:dyDescent="0.3">
      <c r="A16" s="2" t="s">
        <v>139</v>
      </c>
      <c r="B16" s="18">
        <f>'09 FF3'!C16*SUMPRODUCT('13 Factor Cov'!B8:D8,'09 FF3'!C8:E8)+'09 FF3'!D16*SUMPRODUCT('13 Factor Cov'!B9:D9,'09 FF3'!C8:E8)+'09 FF3'!E16*SUMPRODUCT('13 Factor Cov'!B10:D10,'09 FF3'!C8:E8)</f>
        <v>2.4198289189690659E-3</v>
      </c>
      <c r="C16" s="18">
        <f>'09 FF3'!C16*SUMPRODUCT('13 Factor Cov'!B8:D8,'09 FF3'!C9:E9)+'09 FF3'!D16*SUMPRODUCT('13 Factor Cov'!B9:D9,'09 FF3'!C9:E9)+'09 FF3'!E16*SUMPRODUCT('13 Factor Cov'!B10:D10,'09 FF3'!C9:E9)</f>
        <v>1.5400082915334652E-3</v>
      </c>
      <c r="D16" s="18">
        <f>'09 FF3'!C16*SUMPRODUCT('13 Factor Cov'!B8:D8,'09 FF3'!C10:E10)+'09 FF3'!D16*SUMPRODUCT('13 Factor Cov'!B9:D9,'09 FF3'!C10:E10)+'09 FF3'!E16*SUMPRODUCT('13 Factor Cov'!B10:D10,'09 FF3'!C10:E10)</f>
        <v>1.1256063225286465E-3</v>
      </c>
      <c r="E16" s="18">
        <f>'09 FF3'!C16*SUMPRODUCT('13 Factor Cov'!B8:D8,'09 FF3'!C11:E11)+'09 FF3'!D16*SUMPRODUCT('13 Factor Cov'!B9:D9,'09 FF3'!C11:E11)+'09 FF3'!E16*SUMPRODUCT('13 Factor Cov'!B10:D10,'09 FF3'!C11:E11)</f>
        <v>9.0095478308919899E-4</v>
      </c>
      <c r="F16" s="18">
        <f>'09 FF3'!C16*SUMPRODUCT('13 Factor Cov'!B8:D8,'09 FF3'!C12:E12)+'09 FF3'!D16*SUMPRODUCT('13 Factor Cov'!B9:D9,'09 FF3'!C12:E12)+'09 FF3'!E16*SUMPRODUCT('13 Factor Cov'!B10:D10,'09 FF3'!C12:E12)</f>
        <v>2.192227576599301E-3</v>
      </c>
      <c r="G16" s="18">
        <f>'09 FF3'!C16*SUMPRODUCT('13 Factor Cov'!B8:D8,'09 FF3'!C13:E13)+'09 FF3'!D16*SUMPRODUCT('13 Factor Cov'!B9:D9,'09 FF3'!C13:E13)+'09 FF3'!E16*SUMPRODUCT('13 Factor Cov'!B10:D10,'09 FF3'!C13:E13)</f>
        <v>6.2480255983336395E-4</v>
      </c>
      <c r="H16" s="18">
        <f>'09 FF3'!C16*SUMPRODUCT('13 Factor Cov'!B8:D8,'09 FF3'!C14:E14)+'09 FF3'!D16*SUMPRODUCT('13 Factor Cov'!B9:D9,'09 FF3'!C14:E14)+'09 FF3'!E16*SUMPRODUCT('13 Factor Cov'!B10:D10,'09 FF3'!C14:E14)</f>
        <v>1.0390981464909884E-3</v>
      </c>
      <c r="I16" s="18">
        <f>'09 FF3'!C16*SUMPRODUCT('13 Factor Cov'!B8:D8,'09 FF3'!C15:E15)+'09 FF3'!D16*SUMPRODUCT('13 Factor Cov'!B9:D9,'09 FF3'!C15:E15)+'09 FF3'!E16*SUMPRODUCT('13 Factor Cov'!B10:D10,'09 FF3'!C15:E15)</f>
        <v>5.709148866098894E-4</v>
      </c>
      <c r="J16" s="18">
        <f>'09 FF3'!C16*SUMPRODUCT('13 Factor Cov'!B8:D8,'09 FF3'!C16:E16)+'09 FF3'!D16*SUMPRODUCT('13 Factor Cov'!B9:D9,'09 FF3'!C16:E16)+'09 FF3'!E16*SUMPRODUCT('13 Factor Cov'!B10:D10,'09 FF3'!C16:E16)+'09 FF3'!G16</f>
        <v>2.8754383593876148E-3</v>
      </c>
      <c r="K16" s="18">
        <f>'09 FF3'!C16*SUMPRODUCT('13 Factor Cov'!B8:D8,'09 FF3'!C17:E17)+'09 FF3'!D16*SUMPRODUCT('13 Factor Cov'!B9:D9,'09 FF3'!C17:E17)+'09 FF3'!E16*SUMPRODUCT('13 Factor Cov'!B10:D10,'09 FF3'!C17:E17)</f>
        <v>4.6896275439875875E-4</v>
      </c>
    </row>
    <row r="17" spans="1:11" x14ac:dyDescent="0.3">
      <c r="A17" s="2" t="s">
        <v>140</v>
      </c>
      <c r="B17" s="18">
        <f>'09 FF3'!C17*SUMPRODUCT('13 Factor Cov'!B8:D8,'09 FF3'!C8:E8)+'09 FF3'!D17*SUMPRODUCT('13 Factor Cov'!B9:D9,'09 FF3'!C8:E8)+'09 FF3'!E17*SUMPRODUCT('13 Factor Cov'!B10:D10,'09 FF3'!C8:E8)</f>
        <v>1.0988090628684059E-3</v>
      </c>
      <c r="C17" s="18">
        <f>'09 FF3'!C17*SUMPRODUCT('13 Factor Cov'!B8:D8,'09 FF3'!C9:E9)+'09 FF3'!D17*SUMPRODUCT('13 Factor Cov'!B9:D9,'09 FF3'!C9:E9)+'09 FF3'!E17*SUMPRODUCT('13 Factor Cov'!B10:D10,'09 FF3'!C9:E9)</f>
        <v>5.4068190798451786E-4</v>
      </c>
      <c r="D17" s="18">
        <f>'09 FF3'!C17*SUMPRODUCT('13 Factor Cov'!B8:D8,'09 FF3'!C10:E10)+'09 FF3'!D17*SUMPRODUCT('13 Factor Cov'!B9:D9,'09 FF3'!C10:E10)+'09 FF3'!E17*SUMPRODUCT('13 Factor Cov'!B10:D10,'09 FF3'!C10:E10)</f>
        <v>9.7581856306488198E-4</v>
      </c>
      <c r="E17" s="18">
        <f>'09 FF3'!C17*SUMPRODUCT('13 Factor Cov'!B8:D8,'09 FF3'!C11:E11)+'09 FF3'!D17*SUMPRODUCT('13 Factor Cov'!B9:D9,'09 FF3'!C11:E11)+'09 FF3'!E17*SUMPRODUCT('13 Factor Cov'!B10:D10,'09 FF3'!C11:E11)</f>
        <v>1.0094586285703134E-3</v>
      </c>
      <c r="F17" s="18">
        <f>'09 FF3'!C17*SUMPRODUCT('13 Factor Cov'!B8:D8,'09 FF3'!C12:E12)+'09 FF3'!D17*SUMPRODUCT('13 Factor Cov'!B9:D9,'09 FF3'!C12:E12)+'09 FF3'!E17*SUMPRODUCT('13 Factor Cov'!B10:D10,'09 FF3'!C12:E12)</f>
        <v>9.3489118753795563E-4</v>
      </c>
      <c r="G17" s="18">
        <f>'09 FF3'!C17*SUMPRODUCT('13 Factor Cov'!B8:D8,'09 FF3'!C13:E13)+'09 FF3'!D17*SUMPRODUCT('13 Factor Cov'!B9:D9,'09 FF3'!C13:E13)+'09 FF3'!E17*SUMPRODUCT('13 Factor Cov'!B10:D10,'09 FF3'!C13:E13)</f>
        <v>5.1076316284745342E-4</v>
      </c>
      <c r="H17" s="18">
        <f>'09 FF3'!C17*SUMPRODUCT('13 Factor Cov'!B8:D8,'09 FF3'!C14:E14)+'09 FF3'!D17*SUMPRODUCT('13 Factor Cov'!B9:D9,'09 FF3'!C14:E14)+'09 FF3'!E17*SUMPRODUCT('13 Factor Cov'!B10:D10,'09 FF3'!C14:E14)</f>
        <v>6.4898784851279677E-4</v>
      </c>
      <c r="I17" s="18">
        <f>'09 FF3'!C17*SUMPRODUCT('13 Factor Cov'!B8:D8,'09 FF3'!C15:E15)+'09 FF3'!D17*SUMPRODUCT('13 Factor Cov'!B9:D9,'09 FF3'!C15:E15)+'09 FF3'!E17*SUMPRODUCT('13 Factor Cov'!B10:D10,'09 FF3'!C15:E15)</f>
        <v>9.0383153875079236E-4</v>
      </c>
      <c r="J17" s="18">
        <f>'09 FF3'!C17*SUMPRODUCT('13 Factor Cov'!B8:D8,'09 FF3'!C16:E16)+'09 FF3'!D17*SUMPRODUCT('13 Factor Cov'!B9:D9,'09 FF3'!C16:E16)+'09 FF3'!E17*SUMPRODUCT('13 Factor Cov'!B10:D10,'09 FF3'!C16:E16)</f>
        <v>4.689627543987587E-4</v>
      </c>
      <c r="K17" s="18">
        <f>'09 FF3'!C17*SUMPRODUCT('13 Factor Cov'!B8:D8,'09 FF3'!C17:E17)+'09 FF3'!D17*SUMPRODUCT('13 Factor Cov'!B9:D9,'09 FF3'!C17:E17)+'09 FF3'!E17*SUMPRODUCT('13 Factor Cov'!B10:D10,'09 FF3'!C17:E17)+'09 FF3'!G17</f>
        <v>2.7517418596418046E-3</v>
      </c>
    </row>
    <row r="20" spans="1:11" x14ac:dyDescent="0.3">
      <c r="A20" s="2" t="s">
        <v>209</v>
      </c>
      <c r="B20" s="20">
        <f>MAX(ABS(B9-C8),ABS(B10-D8),ABS(C10-D9),ABS(B11-E8),ABS(C11-E9),ABS(D11-E10),ABS(B12-F8),ABS(C12-F9),ABS(D12-F10),ABS(E12-F11),ABS(B13-G8),ABS(C13-G9),ABS(D13-G10),ABS(E13-G11),ABS(F13-G12),ABS(B14-H8),ABS(C14-H9),ABS(D14-H10),ABS(E14-H11),ABS(F14-H12),ABS(G14-H13),ABS(B15-I8),ABS(C15-I9),ABS(D15-I10),ABS(E15-I11),ABS(F15-I12),ABS(G15-I13),ABS(H15-I14),ABS(B16-J8),ABS(C16-J9),ABS(D16-J10),ABS(E16-J11),ABS(F16-J12),ABS(G16-J13),ABS(H16-J14),ABS(I16-J15),ABS(B17-K8),ABS(C17-K9),ABS(D17-K10),ABS(E17-K11),ABS(F17-K12),ABS(G17-K13),ABS(H17-K14),ABS(I17-K15),ABS(J17-K16))</f>
        <v>1.7347234759768071E-18</v>
      </c>
    </row>
    <row r="23" spans="1:11" ht="25.95" customHeight="1" x14ac:dyDescent="0.3">
      <c r="A23" s="25" t="s">
        <v>82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30" customHeight="1" x14ac:dyDescent="0.3">
      <c r="A24" s="21" t="s">
        <v>210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30" customHeight="1" x14ac:dyDescent="0.3">
      <c r="A25" s="21" t="s">
        <v>211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</row>
    <row r="27" spans="1:11" ht="31.95" customHeight="1" x14ac:dyDescent="0.3">
      <c r="A27" s="21" t="s">
        <v>212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</row>
  </sheetData>
  <mergeCells count="6">
    <mergeCell ref="A27:K27"/>
    <mergeCell ref="A3:K3"/>
    <mergeCell ref="A25:K25"/>
    <mergeCell ref="A24:K24"/>
    <mergeCell ref="A1:K1"/>
    <mergeCell ref="A23:K23"/>
  </mergeCells>
  <hyperlinks>
    <hyperlink ref="A2" location="'00 Start'!A1" display="Back to guide" xr:uid="{00000000-0004-0000-0E00-000000000000}"/>
  </hyperlinks>
  <printOptions horizontalCentered="1"/>
  <pageMargins left="0.25" right="0.25" top="0.35" bottom="0.35" header="0.5" footer="0.5"/>
  <pageSetup paperSize="9" fitToHeight="0" orientation="landscape"/>
  <headerFooter>
    <oddFooter>&amp;CBFIN | &amp;A |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68B80"/>
    <pageSetUpPr fitToPage="1"/>
  </sheetPr>
  <dimension ref="A1:K43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 sqref="A1:K1"/>
    </sheetView>
  </sheetViews>
  <sheetFormatPr defaultRowHeight="14.4" x14ac:dyDescent="0.3"/>
  <cols>
    <col min="1" max="1" width="34" customWidth="1"/>
    <col min="2" max="14" width="13" customWidth="1"/>
  </cols>
  <sheetData>
    <row r="1" spans="1:11" ht="25.95" customHeight="1" x14ac:dyDescent="0.3">
      <c r="A1" s="24" t="s">
        <v>213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5.6" x14ac:dyDescent="0.3">
      <c r="A2" s="1" t="s">
        <v>55</v>
      </c>
    </row>
    <row r="3" spans="1:11" ht="42" customHeight="1" x14ac:dyDescent="0.3">
      <c r="A3" s="21" t="s">
        <v>214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6" spans="1:11" ht="34.049999999999997" customHeight="1" x14ac:dyDescent="0.3">
      <c r="A6" s="4" t="s">
        <v>164</v>
      </c>
      <c r="B6" s="4" t="s">
        <v>131</v>
      </c>
      <c r="C6" s="4" t="s">
        <v>132</v>
      </c>
      <c r="D6" s="4" t="s">
        <v>133</v>
      </c>
      <c r="E6" s="4" t="s">
        <v>134</v>
      </c>
      <c r="F6" s="4" t="s">
        <v>135</v>
      </c>
      <c r="G6" s="4" t="s">
        <v>136</v>
      </c>
      <c r="H6" s="4" t="s">
        <v>137</v>
      </c>
      <c r="I6" s="4" t="s">
        <v>138</v>
      </c>
      <c r="J6" s="4" t="s">
        <v>139</v>
      </c>
      <c r="K6" s="4" t="s">
        <v>140</v>
      </c>
    </row>
    <row r="7" spans="1:11" x14ac:dyDescent="0.3">
      <c r="A7" s="2" t="s">
        <v>215</v>
      </c>
      <c r="B7" s="7">
        <f>AVERAGE('07 Excess'!B8:B127)</f>
        <v>4.8270244499666722E-2</v>
      </c>
      <c r="C7" s="7">
        <f>AVERAGE('07 Excess'!C8:C127)</f>
        <v>1.8035163644364659E-2</v>
      </c>
      <c r="D7" s="7">
        <f>AVERAGE('07 Excess'!D8:D127)</f>
        <v>7.5002290651778637E-3</v>
      </c>
      <c r="E7" s="7">
        <f>AVERAGE('07 Excess'!E8:E127)</f>
        <v>1.6277335735680735E-2</v>
      </c>
      <c r="F7" s="7">
        <f>AVERAGE('07 Excess'!F8:F127)</f>
        <v>5.3770383361197667E-2</v>
      </c>
      <c r="G7" s="7">
        <f>AVERAGE('07 Excess'!G8:G127)</f>
        <v>2.1670696657129177E-3</v>
      </c>
      <c r="H7" s="7">
        <f>AVERAGE('07 Excess'!H8:H127)</f>
        <v>7.1554698002881008E-3</v>
      </c>
      <c r="I7" s="7">
        <f>AVERAGE('07 Excess'!I8:I127)</f>
        <v>8.5698127160767461E-3</v>
      </c>
      <c r="J7" s="7">
        <f>AVERAGE('07 Excess'!J8:J127)</f>
        <v>1.5440458177890172E-2</v>
      </c>
      <c r="K7" s="7">
        <f>AVERAGE('07 Excess'!K8:K127)</f>
        <v>2.8955472269940148E-3</v>
      </c>
    </row>
    <row r="8" spans="1:11" x14ac:dyDescent="0.3">
      <c r="A8" s="2" t="s">
        <v>216</v>
      </c>
      <c r="B8" s="5">
        <v>4.8270244499666722E-2</v>
      </c>
      <c r="C8" s="5">
        <v>1.8035163644364669E-2</v>
      </c>
      <c r="D8" s="5">
        <v>7.5002290651778637E-3</v>
      </c>
      <c r="E8" s="5">
        <v>1.6277335735680739E-2</v>
      </c>
      <c r="F8" s="5">
        <v>5.377038336119766E-2</v>
      </c>
      <c r="G8" s="5">
        <v>2.1670696657129199E-3</v>
      </c>
      <c r="H8" s="5">
        <v>7.1554698002881017E-3</v>
      </c>
      <c r="I8" s="5">
        <v>8.5698127160767443E-3</v>
      </c>
      <c r="J8" s="5">
        <v>1.544045817789017E-2</v>
      </c>
      <c r="K8" s="5">
        <v>2.8955472269940161E-3</v>
      </c>
    </row>
    <row r="9" spans="1:11" x14ac:dyDescent="0.3">
      <c r="A9" s="2" t="s">
        <v>217</v>
      </c>
      <c r="B9" s="5">
        <v>9.498525087222702E-2</v>
      </c>
      <c r="C9" s="5">
        <v>0</v>
      </c>
      <c r="D9" s="5">
        <v>0</v>
      </c>
      <c r="E9" s="5">
        <v>0.16836725846232883</v>
      </c>
      <c r="F9" s="5">
        <v>0.29779431039509063</v>
      </c>
      <c r="G9" s="5">
        <v>0</v>
      </c>
      <c r="H9" s="5">
        <v>0</v>
      </c>
      <c r="I9" s="5">
        <v>0</v>
      </c>
      <c r="J9" s="5">
        <v>0.43885318027035364</v>
      </c>
      <c r="K9" s="5">
        <v>0</v>
      </c>
    </row>
    <row r="10" spans="1:11" x14ac:dyDescent="0.3">
      <c r="A10" s="2" t="s">
        <v>218</v>
      </c>
      <c r="B10" s="18">
        <f>SUMPRODUCT('14 FF3 Cov'!B8:K8,$B$9:$K$9)</f>
        <v>7.1786337577802589E-3</v>
      </c>
      <c r="C10" s="18">
        <f>SUMPRODUCT('14 FF3 Cov'!B9:K9,$B$9:$K$9)</f>
        <v>3.4348369679596336E-3</v>
      </c>
      <c r="D10" s="18">
        <f>SUMPRODUCT('14 FF3 Cov'!B10:K10,$B$9:$K$9)</f>
        <v>2.9219359154436081E-3</v>
      </c>
      <c r="E10" s="18">
        <f>SUMPRODUCT('14 FF3 Cov'!B11:K11,$B$9:$K$9)</f>
        <v>2.4207259144086277E-3</v>
      </c>
      <c r="F10" s="18">
        <f>SUMPRODUCT('14 FF3 Cov'!B12:K12,$B$9:$K$9)</f>
        <v>7.9966010743192564E-3</v>
      </c>
      <c r="G10" s="18">
        <f>SUMPRODUCT('14 FF3 Cov'!B13:K13,$B$9:$K$9)</f>
        <v>1.2697756867527344E-3</v>
      </c>
      <c r="H10" s="18">
        <f>SUMPRODUCT('14 FF3 Cov'!B14:K14,$B$9:$K$9)</f>
        <v>2.417291882937224E-3</v>
      </c>
      <c r="I10" s="18">
        <f>SUMPRODUCT('14 FF3 Cov'!B15:K15,$B$9:$K$9)</f>
        <v>1.4378062671321257E-3</v>
      </c>
      <c r="J10" s="18">
        <f>SUMPRODUCT('14 FF3 Cov'!B16:K16,$B$9:$K$9)</f>
        <v>2.2962675118545096E-3</v>
      </c>
      <c r="K10" s="18">
        <f>SUMPRODUCT('14 FF3 Cov'!B17:K17,$B$9:$K$9)</f>
        <v>7.5854150900431098E-4</v>
      </c>
    </row>
    <row r="11" spans="1:11" x14ac:dyDescent="0.3">
      <c r="A11" s="2" t="s">
        <v>219</v>
      </c>
      <c r="B11" s="18">
        <f t="shared" ref="B11:K11" si="0">B9*B10</f>
        <v>6.8186432840259572E-4</v>
      </c>
      <c r="C11" s="18">
        <f t="shared" si="0"/>
        <v>0</v>
      </c>
      <c r="D11" s="18">
        <f t="shared" si="0"/>
        <v>0</v>
      </c>
      <c r="E11" s="18">
        <f t="shared" si="0"/>
        <v>4.0757098569769475E-4</v>
      </c>
      <c r="F11" s="18">
        <f t="shared" si="0"/>
        <v>2.3813423024315441E-3</v>
      </c>
      <c r="G11" s="18">
        <f t="shared" si="0"/>
        <v>0</v>
      </c>
      <c r="H11" s="18">
        <f t="shared" si="0"/>
        <v>0</v>
      </c>
      <c r="I11" s="18">
        <f t="shared" si="0"/>
        <v>0</v>
      </c>
      <c r="J11" s="18">
        <f t="shared" si="0"/>
        <v>1.0077243003288436E-3</v>
      </c>
      <c r="K11" s="18">
        <f t="shared" si="0"/>
        <v>0</v>
      </c>
    </row>
    <row r="15" spans="1:11" x14ac:dyDescent="0.3">
      <c r="A15" s="2" t="s">
        <v>220</v>
      </c>
      <c r="B15" s="11">
        <f>SUM(B9:K9)</f>
        <v>1.0000000000000002</v>
      </c>
    </row>
    <row r="16" spans="1:11" x14ac:dyDescent="0.3">
      <c r="A16" s="2" t="s">
        <v>221</v>
      </c>
      <c r="B16" s="8">
        <f>SUMPRODUCT(B9:K9,B8:K8)</f>
        <v>3.0114140085278043E-2</v>
      </c>
    </row>
    <row r="17" spans="1:2" x14ac:dyDescent="0.3">
      <c r="A17" s="2" t="s">
        <v>222</v>
      </c>
      <c r="B17" s="20">
        <f>SUMPRODUCT(B9:K9,B10:K10)</f>
        <v>4.4785019168606787E-3</v>
      </c>
    </row>
    <row r="18" spans="1:2" x14ac:dyDescent="0.3">
      <c r="A18" s="2" t="s">
        <v>223</v>
      </c>
      <c r="B18" s="8">
        <f>SQRT(B17)</f>
        <v>6.6921610238103793E-2</v>
      </c>
    </row>
    <row r="19" spans="1:2" x14ac:dyDescent="0.3">
      <c r="A19" s="2" t="s">
        <v>224</v>
      </c>
      <c r="B19" s="11">
        <f>B16/B18</f>
        <v>0.44999126557375735</v>
      </c>
    </row>
    <row r="20" spans="1:2" x14ac:dyDescent="0.3">
      <c r="A20" s="2" t="s">
        <v>225</v>
      </c>
      <c r="B20" s="8">
        <f>12*B16</f>
        <v>0.3613696810233365</v>
      </c>
    </row>
    <row r="21" spans="1:2" x14ac:dyDescent="0.3">
      <c r="A21" s="2" t="s">
        <v>226</v>
      </c>
      <c r="B21" s="8">
        <f>SQRT(12)*B18</f>
        <v>0.23182325811343463</v>
      </c>
    </row>
    <row r="22" spans="1:2" x14ac:dyDescent="0.3">
      <c r="A22" s="2" t="s">
        <v>227</v>
      </c>
      <c r="B22" s="8">
        <f>1-B15</f>
        <v>0</v>
      </c>
    </row>
    <row r="33" spans="1:11" ht="25.95" customHeight="1" x14ac:dyDescent="0.3">
      <c r="A33" s="25" t="s">
        <v>82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</row>
    <row r="34" spans="1:11" ht="30" customHeight="1" x14ac:dyDescent="0.3">
      <c r="A34" s="21" t="s">
        <v>228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</row>
    <row r="35" spans="1:11" ht="30" customHeight="1" x14ac:dyDescent="0.3">
      <c r="A35" s="21" t="s">
        <v>229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</row>
    <row r="36" spans="1:11" ht="30" customHeight="1" x14ac:dyDescent="0.3">
      <c r="A36" s="21" t="s">
        <v>230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</row>
    <row r="37" spans="1:11" ht="30" customHeight="1" x14ac:dyDescent="0.3">
      <c r="A37" s="21" t="inlineStr">
        <is>
          <t>4. Select GRG Nonlinear. Clear "Make Unconstrained Variables Non-Negative"; apply only the constraints listed above.</t>
        </is>
      </c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 spans="1:11" ht="31.95" customHeight="1" x14ac:dyDescent="0.3">
      <c r="A38" s="21" t="inlineStr">
        <is>
          <t>5. In Options, enable Automatic Scaling; set constraint precision to 0.000000001; set convergence to 0.0000000001. Select Solve, then Keep Solver Solution.</t>
        </is>
      </c>
      <c r="B38" s="22"/>
      <c r="C38" s="22"/>
      <c r="D38" s="22"/>
      <c r="E38" s="22"/>
      <c r="F38" s="22"/>
      <c r="G38" s="22"/>
      <c r="H38" s="22"/>
      <c r="I38" s="22"/>
      <c r="J38" s="22"/>
      <c r="K38" s="22"/>
    </row>
    <row r="39" spans="1:11" ht="31.95" customHeight="1" x14ac:dyDescent="0.3">
      <c r="A39" s="21" t="s">
        <v>107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</row>
    <row r="40" spans="1:11" ht="30" customHeight="1" x14ac:dyDescent="0.3">
      <c r="A40" s="21" t="s">
        <v>232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</row>
    <row r="41" spans="1:11" ht="30" customHeight="1" x14ac:dyDescent="0.3">
      <c r="A41" s="21" t="s">
        <v>233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</row>
    <row r="42" spans="1:11" ht="30" customHeight="1" x14ac:dyDescent="0.3">
      <c r="A42" s="21" t="s">
        <v>234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</row>
    <row r="43" spans="1:11" ht="30" customHeight="1" x14ac:dyDescent="0.3">
      <c r="A43" s="21" t="s">
        <v>235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</row>
  </sheetData>
  <mergeCells count="13">
    <mergeCell ref="A39:K39"/>
    <mergeCell ref="A43:K43"/>
    <mergeCell ref="A38:K38"/>
    <mergeCell ref="A33:K33"/>
    <mergeCell ref="A41:K41"/>
    <mergeCell ref="A42:K42"/>
    <mergeCell ref="A36:K36"/>
    <mergeCell ref="A40:K40"/>
    <mergeCell ref="A1:K1"/>
    <mergeCell ref="A37:K37"/>
    <mergeCell ref="A34:K34"/>
    <mergeCell ref="A35:K35"/>
    <mergeCell ref="A3:K3"/>
  </mergeCells>
  <hyperlinks>
    <hyperlink ref="A2" location="'00 Start'!A1" display="Back to guide" xr:uid="{00000000-0004-0000-0F00-000000000000}"/>
  </hyperlinks>
  <printOptions horizontalCentered="1"/>
  <pageMargins left="0.25" right="0.25" top="0.35" bottom="0.35" header="0.5" footer="0.5"/>
  <pageSetup paperSize="9" fitToHeight="0" orientation="landscape"/>
  <headerFooter>
    <oddFooter>&amp;CBFIN | &amp;A | Page &amp;P of &amp;N</oddFooter>
  </headerFooter>
  <rowBreaks count="1" manualBreakCount="1">
    <brk id="32" max="16383" man="1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68B80"/>
    <pageSetUpPr fitToPage="1"/>
  </sheetPr>
  <dimension ref="A1:K49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 sqref="A1:K1"/>
    </sheetView>
  </sheetViews>
  <sheetFormatPr defaultRowHeight="14.4" x14ac:dyDescent="0.3"/>
  <cols>
    <col min="1" max="1" width="34" customWidth="1"/>
    <col min="2" max="14" width="13" customWidth="1"/>
  </cols>
  <sheetData>
    <row r="1" spans="1:11" ht="25.95" customHeight="1" x14ac:dyDescent="0.3">
      <c r="A1" s="24" t="s">
        <v>236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5.6" x14ac:dyDescent="0.3">
      <c r="A2" s="1" t="s">
        <v>55</v>
      </c>
    </row>
    <row r="3" spans="1:11" ht="42" customHeight="1" x14ac:dyDescent="0.3">
      <c r="A3" s="21" t="s">
        <v>214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6" spans="1:11" ht="34.049999999999997" customHeight="1" x14ac:dyDescent="0.3">
      <c r="A6" s="4" t="s">
        <v>164</v>
      </c>
      <c r="B6" s="4" t="s">
        <v>131</v>
      </c>
      <c r="C6" s="4" t="s">
        <v>132</v>
      </c>
      <c r="D6" s="4" t="s">
        <v>133</v>
      </c>
      <c r="E6" s="4" t="s">
        <v>134</v>
      </c>
      <c r="F6" s="4" t="s">
        <v>135</v>
      </c>
      <c r="G6" s="4" t="s">
        <v>136</v>
      </c>
      <c r="H6" s="4" t="s">
        <v>137</v>
      </c>
      <c r="I6" s="4" t="s">
        <v>138</v>
      </c>
      <c r="J6" s="4" t="s">
        <v>139</v>
      </c>
      <c r="K6" s="4" t="s">
        <v>140</v>
      </c>
    </row>
    <row r="7" spans="1:11" x14ac:dyDescent="0.3">
      <c r="A7" s="2" t="s">
        <v>215</v>
      </c>
      <c r="B7" s="7">
        <f>AVERAGE('07 Excess'!B8:B127)</f>
        <v>4.8270244499666722E-2</v>
      </c>
      <c r="C7" s="7">
        <f>AVERAGE('07 Excess'!C8:C127)</f>
        <v>1.8035163644364659E-2</v>
      </c>
      <c r="D7" s="7">
        <f>AVERAGE('07 Excess'!D8:D127)</f>
        <v>7.5002290651778637E-3</v>
      </c>
      <c r="E7" s="7">
        <f>AVERAGE('07 Excess'!E8:E127)</f>
        <v>1.6277335735680735E-2</v>
      </c>
      <c r="F7" s="7">
        <f>AVERAGE('07 Excess'!F8:F127)</f>
        <v>5.3770383361197667E-2</v>
      </c>
      <c r="G7" s="7">
        <f>AVERAGE('07 Excess'!G8:G127)</f>
        <v>2.1670696657129177E-3</v>
      </c>
      <c r="H7" s="7">
        <f>AVERAGE('07 Excess'!H8:H127)</f>
        <v>7.1554698002881008E-3</v>
      </c>
      <c r="I7" s="7">
        <f>AVERAGE('07 Excess'!I8:I127)</f>
        <v>8.5698127160767461E-3</v>
      </c>
      <c r="J7" s="7">
        <f>AVERAGE('07 Excess'!J8:J127)</f>
        <v>1.5440458177890172E-2</v>
      </c>
      <c r="K7" s="7">
        <f>AVERAGE('07 Excess'!K8:K127)</f>
        <v>2.8955472269940148E-3</v>
      </c>
    </row>
    <row r="8" spans="1:11" x14ac:dyDescent="0.3">
      <c r="A8" s="2" t="s">
        <v>216</v>
      </c>
      <c r="B8" s="5">
        <v>4.8270244499666722E-2</v>
      </c>
      <c r="C8" s="5">
        <v>1.8035163644364669E-2</v>
      </c>
      <c r="D8" s="5">
        <v>7.5002290651778637E-3</v>
      </c>
      <c r="E8" s="5">
        <v>1.6277335735680739E-2</v>
      </c>
      <c r="F8" s="5">
        <v>5.377038336119766E-2</v>
      </c>
      <c r="G8" s="5">
        <v>2.1670696657129199E-3</v>
      </c>
      <c r="H8" s="5">
        <v>7.1554698002881017E-3</v>
      </c>
      <c r="I8" s="5">
        <v>8.5698127160767443E-3</v>
      </c>
      <c r="J8" s="5">
        <v>1.544045817789017E-2</v>
      </c>
      <c r="K8" s="5">
        <v>2.8955472269940161E-3</v>
      </c>
    </row>
    <row r="9" spans="1:11" x14ac:dyDescent="0.3">
      <c r="A9" s="2" t="s">
        <v>217</v>
      </c>
      <c r="B9" s="5">
        <v>-3.5542143650824747E-2</v>
      </c>
      <c r="C9" s="5">
        <v>0.34769809041831196</v>
      </c>
      <c r="D9" s="5">
        <v>0.16984659084158318</v>
      </c>
      <c r="E9" s="5">
        <v>9.0127628784404154E-2</v>
      </c>
      <c r="F9" s="5">
        <v>-3.0583323455154878E-2</v>
      </c>
      <c r="G9" s="5">
        <v>0.15038346736597855</v>
      </c>
      <c r="H9" s="5">
        <v>0.16061731537974866</v>
      </c>
      <c r="I9" s="5">
        <v>9.1980959924077954E-2</v>
      </c>
      <c r="J9" s="5">
        <v>6.6518766008526867E-2</v>
      </c>
      <c r="K9" s="5">
        <v>-1.1047351616651546E-2</v>
      </c>
    </row>
    <row r="10" spans="1:11" x14ac:dyDescent="0.3">
      <c r="A10" s="2" t="s">
        <v>218</v>
      </c>
      <c r="B10" s="18">
        <f>SUMPRODUCT('14 FF3 Cov'!B8:K8,$B$9:$K$9)</f>
        <v>3.5416829631592993E-3</v>
      </c>
      <c r="C10" s="18">
        <f>SUMPRODUCT('14 FF3 Cov'!B9:K9,$B$9:$K$9)</f>
        <v>3.6201594434971821E-3</v>
      </c>
      <c r="D10" s="18">
        <f>SUMPRODUCT('14 FF3 Cov'!B10:K10,$B$9:$K$9)</f>
        <v>3.927750196999244E-3</v>
      </c>
      <c r="E10" s="18">
        <f>SUMPRODUCT('14 FF3 Cov'!B11:K11,$B$9:$K$9)</f>
        <v>2.4478542796593662E-3</v>
      </c>
      <c r="F10" s="18">
        <f>SUMPRODUCT('14 FF3 Cov'!B12:K12,$B$9:$K$9)</f>
        <v>3.3908343481402637E-3</v>
      </c>
      <c r="G10" s="18">
        <f>SUMPRODUCT('14 FF3 Cov'!B13:K13,$B$9:$K$9)</f>
        <v>1.6652745539182381E-3</v>
      </c>
      <c r="H10" s="18">
        <f>SUMPRODUCT('14 FF3 Cov'!B14:K14,$B$9:$K$9)</f>
        <v>3.0632504917120643E-3</v>
      </c>
      <c r="I10" s="18">
        <f>SUMPRODUCT('14 FF3 Cov'!B15:K15,$B$9:$K$9)</f>
        <v>2.0395956499641302E-3</v>
      </c>
      <c r="J10" s="18">
        <f>SUMPRODUCT('14 FF3 Cov'!B16:K16,$B$9:$K$9)</f>
        <v>1.1542479891714565E-3</v>
      </c>
      <c r="K10" s="18">
        <f>SUMPRODUCT('14 FF3 Cov'!B17:K17,$B$9:$K$9)</f>
        <v>6.4204720431712016E-4</v>
      </c>
    </row>
    <row r="11" spans="1:11" x14ac:dyDescent="0.3">
      <c r="A11" s="2" t="s">
        <v>219</v>
      </c>
      <c r="B11" s="18">
        <f t="shared" ref="B11:K11" si="0">B9*B10</f>
        <v>-1.2587900464228647E-4</v>
      </c>
      <c r="C11" s="18">
        <f t="shared" si="0"/>
        <v>1.258722525513789E-3</v>
      </c>
      <c r="D11" s="18">
        <f t="shared" si="0"/>
        <v>6.6711498063767838E-4</v>
      </c>
      <c r="E11" s="18">
        <f t="shared" si="0"/>
        <v>2.2061930183545439E-4</v>
      </c>
      <c r="F11" s="18">
        <f t="shared" si="0"/>
        <v>-1.0370298365202293E-4</v>
      </c>
      <c r="G11" s="18">
        <f t="shared" si="0"/>
        <v>2.5042976153455784E-4</v>
      </c>
      <c r="H11" s="18">
        <f t="shared" si="0"/>
        <v>4.9201107031448675E-4</v>
      </c>
      <c r="I11" s="18">
        <f t="shared" si="0"/>
        <v>1.8760396574067439E-4</v>
      </c>
      <c r="J11" s="18">
        <f t="shared" si="0"/>
        <v>7.6779151907508766E-5</v>
      </c>
      <c r="K11" s="18">
        <f t="shared" si="0"/>
        <v>-7.0929212205793432E-6</v>
      </c>
    </row>
    <row r="15" spans="1:11" x14ac:dyDescent="0.3">
      <c r="A15" s="2" t="s">
        <v>220</v>
      </c>
      <c r="B15" s="11">
        <f>SUM(B9:K9)</f>
        <v>1</v>
      </c>
    </row>
    <row r="16" spans="1:11" x14ac:dyDescent="0.3">
      <c r="A16" s="2" t="s">
        <v>221</v>
      </c>
      <c r="B16" s="8">
        <f>SUMPRODUCT(B9:K9,B8:K8)</f>
        <v>8.9101484750638386E-3</v>
      </c>
    </row>
    <row r="17" spans="1:11" x14ac:dyDescent="0.3">
      <c r="A17" s="2" t="s">
        <v>222</v>
      </c>
      <c r="B17" s="20">
        <f>SUMPRODUCT(B9:K9,B10:K10)</f>
        <v>2.9166058479692608E-3</v>
      </c>
    </row>
    <row r="18" spans="1:11" x14ac:dyDescent="0.3">
      <c r="A18" s="2" t="s">
        <v>223</v>
      </c>
      <c r="B18" s="8">
        <f>SQRT(B17)</f>
        <v>5.4005609412071824E-2</v>
      </c>
    </row>
    <row r="19" spans="1:11" x14ac:dyDescent="0.3">
      <c r="A19" s="2" t="s">
        <v>224</v>
      </c>
      <c r="B19" s="11">
        <f>B16/B18</f>
        <v>0.16498561116268343</v>
      </c>
    </row>
    <row r="20" spans="1:11" x14ac:dyDescent="0.3">
      <c r="A20" s="2" t="s">
        <v>225</v>
      </c>
      <c r="B20" s="8">
        <f>12*B16</f>
        <v>0.10692178170076606</v>
      </c>
    </row>
    <row r="21" spans="1:11" x14ac:dyDescent="0.3">
      <c r="A21" s="2" t="s">
        <v>226</v>
      </c>
      <c r="B21" s="8">
        <f>SQRT(12)*B18</f>
        <v>0.18708091879085673</v>
      </c>
    </row>
    <row r="22" spans="1:11" x14ac:dyDescent="0.3">
      <c r="A22" s="2" t="s">
        <v>227</v>
      </c>
      <c r="B22" s="8">
        <f>1-B15</f>
        <v>0</v>
      </c>
    </row>
    <row r="24" spans="1:11" ht="34.049999999999997" customHeight="1" x14ac:dyDescent="0.3">
      <c r="A24" s="4" t="s">
        <v>237</v>
      </c>
      <c r="B24" s="4" t="s">
        <v>238</v>
      </c>
      <c r="C24" s="4" t="s">
        <v>239</v>
      </c>
    </row>
    <row r="25" spans="1:11" x14ac:dyDescent="0.3">
      <c r="A25" s="2" t="s">
        <v>165</v>
      </c>
      <c r="B25" s="11">
        <f>SUMPRODUCT(B9:K9,B30:K30)</f>
        <v>0.99999999998720335</v>
      </c>
      <c r="C25" s="6">
        <v>1</v>
      </c>
    </row>
    <row r="26" spans="1:11" x14ac:dyDescent="0.3">
      <c r="A26" s="2" t="s">
        <v>74</v>
      </c>
      <c r="B26" s="11">
        <f>SUMPRODUCT(B9:K9,B31:K31)</f>
        <v>5.6633317827015084E-12</v>
      </c>
      <c r="C26" s="6">
        <v>0</v>
      </c>
    </row>
    <row r="27" spans="1:11" x14ac:dyDescent="0.3">
      <c r="A27" s="2" t="s">
        <v>75</v>
      </c>
      <c r="B27" s="11">
        <f>SUMPRODUCT(B9:K9,B32:K32)</f>
        <v>3.7463712687646478E-12</v>
      </c>
      <c r="C27" s="6">
        <v>0</v>
      </c>
    </row>
    <row r="29" spans="1:11" ht="34.049999999999997" customHeight="1" x14ac:dyDescent="0.3">
      <c r="A29" s="4" t="s">
        <v>240</v>
      </c>
      <c r="B29" s="4" t="s">
        <v>131</v>
      </c>
      <c r="C29" s="4" t="s">
        <v>132</v>
      </c>
      <c r="D29" s="4" t="s">
        <v>133</v>
      </c>
      <c r="E29" s="4" t="s">
        <v>134</v>
      </c>
      <c r="F29" s="4" t="s">
        <v>135</v>
      </c>
      <c r="G29" s="4" t="s">
        <v>136</v>
      </c>
      <c r="H29" s="4" t="s">
        <v>137</v>
      </c>
      <c r="I29" s="4" t="s">
        <v>138</v>
      </c>
      <c r="J29" s="4" t="s">
        <v>139</v>
      </c>
      <c r="K29" s="4" t="s">
        <v>140</v>
      </c>
    </row>
    <row r="30" spans="1:11" x14ac:dyDescent="0.3">
      <c r="A30" s="2" t="s">
        <v>165</v>
      </c>
      <c r="B30" s="17">
        <f>'09 FF3'!C8</f>
        <v>2.092031512430458</v>
      </c>
      <c r="C30" s="17">
        <f>'09 FF3'!C9</f>
        <v>1.2669865730919141</v>
      </c>
      <c r="D30" s="17">
        <f>'09 FF3'!C10</f>
        <v>1.3241553848004384</v>
      </c>
      <c r="E30" s="17">
        <f>'09 FF3'!C11</f>
        <v>1.1140459854790041</v>
      </c>
      <c r="F30" s="17">
        <f>'09 FF3'!C12</f>
        <v>1.8544483919612726</v>
      </c>
      <c r="G30" s="17">
        <f>'09 FF3'!C13</f>
        <v>0.59981781313184557</v>
      </c>
      <c r="H30" s="17">
        <f>'09 FF3'!C14</f>
        <v>1.0146258041869398</v>
      </c>
      <c r="I30" s="17">
        <f>'09 FF3'!C15</f>
        <v>0.83669035773409628</v>
      </c>
      <c r="J30" s="17">
        <f>'09 FF3'!C16</f>
        <v>0.60032001917261202</v>
      </c>
      <c r="K30" s="17">
        <f>'09 FF3'!C17</f>
        <v>0.43713806088644003</v>
      </c>
    </row>
    <row r="31" spans="1:11" x14ac:dyDescent="0.3">
      <c r="A31" s="2" t="s">
        <v>74</v>
      </c>
      <c r="B31" s="17">
        <f>'09 FF3'!D8</f>
        <v>-0.19720562060086402</v>
      </c>
      <c r="C31" s="17">
        <f>'09 FF3'!D9</f>
        <v>-4.939074525795234E-2</v>
      </c>
      <c r="D31" s="17">
        <f>'09 FF3'!D10</f>
        <v>0.40754900588236798</v>
      </c>
      <c r="E31" s="17">
        <f>'09 FF3'!D11</f>
        <v>4.4972838555735577E-2</v>
      </c>
      <c r="F31" s="17">
        <f>'09 FF3'!D12</f>
        <v>-0.22175806210069179</v>
      </c>
      <c r="G31" s="17">
        <f>'09 FF3'!D13</f>
        <v>-0.30467488454201697</v>
      </c>
      <c r="H31" s="17">
        <f>'09 FF3'!D14</f>
        <v>2.7656325219092212E-2</v>
      </c>
      <c r="I31" s="17">
        <f>'09 FF3'!D15</f>
        <v>6.1999245130422145E-3</v>
      </c>
      <c r="J31" s="17">
        <f>'09 FF3'!D16</f>
        <v>-0.53147710703662143</v>
      </c>
      <c r="K31" s="17">
        <f>'09 FF3'!D17</f>
        <v>-0.5672546332594024</v>
      </c>
    </row>
    <row r="32" spans="1:11" x14ac:dyDescent="0.3">
      <c r="A32" s="2" t="s">
        <v>75</v>
      </c>
      <c r="B32" s="17">
        <f>'09 FF3'!E8</f>
        <v>-1.0142848846488453</v>
      </c>
      <c r="C32" s="17">
        <f>'09 FF3'!E9</f>
        <v>-0.93858831199831694</v>
      </c>
      <c r="D32" s="17">
        <f>'09 FF3'!E10</f>
        <v>0.5500424231652179</v>
      </c>
      <c r="E32" s="17">
        <f>'09 FF3'!E11</f>
        <v>0.82351625487859215</v>
      </c>
      <c r="F32" s="17">
        <f>'09 FF3'!E12</f>
        <v>-1.0471048163153087</v>
      </c>
      <c r="G32" s="17">
        <f>'09 FF3'!E13</f>
        <v>0.12493653119047284</v>
      </c>
      <c r="H32" s="17">
        <f>'09 FF3'!E14</f>
        <v>-6.3623732545808331E-2</v>
      </c>
      <c r="I32" s="17">
        <f>'09 FF3'!E15</f>
        <v>1.0335589734852346</v>
      </c>
      <c r="J32" s="17">
        <f>'09 FF3'!E16</f>
        <v>-0.15287139695773533</v>
      </c>
      <c r="K32" s="17">
        <f>'09 FF3'!E17</f>
        <v>0.25717329159682384</v>
      </c>
    </row>
    <row r="34" spans="1:11" x14ac:dyDescent="0.3">
      <c r="A34" s="2" t="s">
        <v>241</v>
      </c>
      <c r="B34" s="11">
        <f>B17*10000</f>
        <v>29.166058479692609</v>
      </c>
    </row>
    <row r="37" spans="1:11" ht="25.95" customHeight="1" x14ac:dyDescent="0.3">
      <c r="A37" s="25" t="s">
        <v>82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 spans="1:11" ht="30" customHeight="1" x14ac:dyDescent="0.3">
      <c r="A38" s="21" t="s">
        <v>242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</row>
    <row r="39" spans="1:11" ht="30" customHeight="1" x14ac:dyDescent="0.3">
      <c r="A39" s="21" t="s">
        <v>229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</row>
    <row r="40" spans="1:11" ht="30" customHeight="1" x14ac:dyDescent="0.3">
      <c r="A40" s="21" t="s">
        <v>243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</row>
    <row r="41" spans="1:11" ht="30" customHeight="1" x14ac:dyDescent="0.3">
      <c r="A41" s="21" t="inlineStr">
        <is>
          <t>4. Select GRG Nonlinear. Clear "Make Unconstrained Variables Non-Negative"; apply only the constraints listed above.</t>
        </is>
      </c>
      <c r="B41" s="22"/>
      <c r="C41" s="22"/>
      <c r="D41" s="22"/>
      <c r="E41" s="22"/>
      <c r="F41" s="22"/>
      <c r="G41" s="22"/>
      <c r="H41" s="22"/>
      <c r="I41" s="22"/>
      <c r="J41" s="22"/>
      <c r="K41" s="22"/>
    </row>
    <row r="42" spans="1:11" ht="31.95" customHeight="1" x14ac:dyDescent="0.3">
      <c r="A42" s="21" t="inlineStr">
        <is>
          <t>5. In Options, enable Automatic Scaling; set constraint precision to 0.000000001; set convergence to 0.0000000001. Select Solve, then Keep Solver Solution.</t>
        </is>
      </c>
      <c r="B42" s="22"/>
      <c r="C42" s="22"/>
      <c r="D42" s="22"/>
      <c r="E42" s="22"/>
      <c r="F42" s="22"/>
      <c r="G42" s="22"/>
      <c r="H42" s="22"/>
      <c r="I42" s="22"/>
      <c r="J42" s="22"/>
      <c r="K42" s="22"/>
    </row>
    <row r="43" spans="1:11" ht="31.95" customHeight="1" x14ac:dyDescent="0.3">
      <c r="A43" s="21" t="s">
        <v>107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</row>
    <row r="44" spans="1:11" ht="30" customHeight="1" x14ac:dyDescent="0.3">
      <c r="A44" s="21" t="s">
        <v>244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</row>
    <row r="45" spans="1:11" ht="30" customHeight="1" x14ac:dyDescent="0.3">
      <c r="A45" s="21" t="s">
        <v>245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</row>
    <row r="46" spans="1:11" ht="30" customHeight="1" x14ac:dyDescent="0.3">
      <c r="A46" s="21" t="s">
        <v>246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</row>
    <row r="47" spans="1:11" ht="31.95" customHeight="1" x14ac:dyDescent="0.3">
      <c r="A47" s="21" t="s">
        <v>247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</row>
    <row r="49" spans="1:11" ht="31.95" customHeight="1" x14ac:dyDescent="0.3">
      <c r="A49" s="21" t="s">
        <v>248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</row>
  </sheetData>
  <mergeCells count="14">
    <mergeCell ref="A1:K1"/>
    <mergeCell ref="A37:K37"/>
    <mergeCell ref="A45:K45"/>
    <mergeCell ref="A49:K49"/>
    <mergeCell ref="A47:K47"/>
    <mergeCell ref="A42:K42"/>
    <mergeCell ref="A46:K46"/>
    <mergeCell ref="A44:K44"/>
    <mergeCell ref="A3:K3"/>
    <mergeCell ref="A39:K39"/>
    <mergeCell ref="A43:K43"/>
    <mergeCell ref="A38:K38"/>
    <mergeCell ref="A41:K41"/>
    <mergeCell ref="A40:K40"/>
  </mergeCells>
  <hyperlinks>
    <hyperlink ref="A2" location="'00 Start'!A1" display="Back to guide" xr:uid="{00000000-0004-0000-1000-000000000000}"/>
  </hyperlinks>
  <printOptions horizontalCentered="1"/>
  <pageMargins left="0.25" right="0.25" top="0.35" bottom="0.35" header="0.5" footer="0.5"/>
  <pageSetup paperSize="9" scale="86" fitToHeight="0" orientation="landscape" r:id="rId1"/>
  <headerFooter>
    <oddFooter>&amp;CBFIN | &amp;A | Page &amp;P of &amp;N</oddFooter>
  </headerFooter>
  <rowBreaks count="1" manualBreakCount="1">
    <brk id="36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68B80"/>
    <pageSetUpPr fitToPage="1"/>
  </sheetPr>
  <dimension ref="A1:K50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 sqref="A1:K1"/>
    </sheetView>
  </sheetViews>
  <sheetFormatPr defaultRowHeight="14.4" x14ac:dyDescent="0.3"/>
  <cols>
    <col min="1" max="1" width="34" customWidth="1"/>
    <col min="2" max="14" width="13" customWidth="1"/>
  </cols>
  <sheetData>
    <row r="1" spans="1:11" ht="25.95" customHeight="1" x14ac:dyDescent="0.3">
      <c r="A1" s="24" t="s">
        <v>249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5.6" x14ac:dyDescent="0.3">
      <c r="A2" s="1" t="s">
        <v>55</v>
      </c>
    </row>
    <row r="3" spans="1:11" ht="42" customHeight="1" x14ac:dyDescent="0.3">
      <c r="A3" s="21" t="s">
        <v>214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6" spans="1:11" ht="34.049999999999997" customHeight="1" x14ac:dyDescent="0.3">
      <c r="A6" s="4" t="s">
        <v>164</v>
      </c>
      <c r="B6" s="4" t="s">
        <v>131</v>
      </c>
      <c r="C6" s="4" t="s">
        <v>132</v>
      </c>
      <c r="D6" s="4" t="s">
        <v>133</v>
      </c>
      <c r="E6" s="4" t="s">
        <v>134</v>
      </c>
      <c r="F6" s="4" t="s">
        <v>135</v>
      </c>
      <c r="G6" s="4" t="s">
        <v>136</v>
      </c>
      <c r="H6" s="4" t="s">
        <v>137</v>
      </c>
      <c r="I6" s="4" t="s">
        <v>138</v>
      </c>
      <c r="J6" s="4" t="s">
        <v>139</v>
      </c>
      <c r="K6" s="4" t="s">
        <v>140</v>
      </c>
    </row>
    <row r="7" spans="1:11" x14ac:dyDescent="0.3">
      <c r="A7" s="2" t="s">
        <v>215</v>
      </c>
      <c r="B7" s="7">
        <f>AVERAGE('07 Excess'!B8:B127)</f>
        <v>4.8270244499666722E-2</v>
      </c>
      <c r="C7" s="7">
        <f>AVERAGE('07 Excess'!C8:C127)</f>
        <v>1.8035163644364659E-2</v>
      </c>
      <c r="D7" s="7">
        <f>AVERAGE('07 Excess'!D8:D127)</f>
        <v>7.5002290651778637E-3</v>
      </c>
      <c r="E7" s="7">
        <f>AVERAGE('07 Excess'!E8:E127)</f>
        <v>1.6277335735680735E-2</v>
      </c>
      <c r="F7" s="7">
        <f>AVERAGE('07 Excess'!F8:F127)</f>
        <v>5.3770383361197667E-2</v>
      </c>
      <c r="G7" s="7">
        <f>AVERAGE('07 Excess'!G8:G127)</f>
        <v>2.1670696657129177E-3</v>
      </c>
      <c r="H7" s="7">
        <f>AVERAGE('07 Excess'!H8:H127)</f>
        <v>7.1554698002881008E-3</v>
      </c>
      <c r="I7" s="7">
        <f>AVERAGE('07 Excess'!I8:I127)</f>
        <v>8.5698127160767461E-3</v>
      </c>
      <c r="J7" s="7">
        <f>AVERAGE('07 Excess'!J8:J127)</f>
        <v>1.5440458177890172E-2</v>
      </c>
      <c r="K7" s="7">
        <f>AVERAGE('07 Excess'!K8:K127)</f>
        <v>2.8955472269940148E-3</v>
      </c>
    </row>
    <row r="8" spans="1:11" x14ac:dyDescent="0.3">
      <c r="A8" s="2" t="s">
        <v>216</v>
      </c>
      <c r="B8" s="5">
        <v>4.8270244499666722E-2</v>
      </c>
      <c r="C8" s="5">
        <v>1.8035163644364669E-2</v>
      </c>
      <c r="D8" s="5">
        <v>7.5002290651778637E-3</v>
      </c>
      <c r="E8" s="5">
        <v>1.6277335735680739E-2</v>
      </c>
      <c r="F8" s="5">
        <v>5.377038336119766E-2</v>
      </c>
      <c r="G8" s="5">
        <v>2.1670696657129199E-3</v>
      </c>
      <c r="H8" s="5">
        <v>7.1554698002881017E-3</v>
      </c>
      <c r="I8" s="5">
        <v>8.5698127160767443E-3</v>
      </c>
      <c r="J8" s="5">
        <v>1.544045817789017E-2</v>
      </c>
      <c r="K8" s="5">
        <v>2.8955472269940161E-3</v>
      </c>
    </row>
    <row r="9" spans="1:11" x14ac:dyDescent="0.3">
      <c r="A9" s="2" t="s">
        <v>217</v>
      </c>
      <c r="B9" s="5">
        <v>1.470453853331339E-2</v>
      </c>
      <c r="C9" s="5">
        <v>0.162571099979717</v>
      </c>
      <c r="D9" s="5">
        <v>0.2652145772144941</v>
      </c>
      <c r="E9" s="5">
        <v>0.20318872023893647</v>
      </c>
      <c r="F9" s="5">
        <v>1.2751605108559503E-2</v>
      </c>
      <c r="G9" s="5">
        <v>-0.22881266426404467</v>
      </c>
      <c r="H9" s="5">
        <v>7.0256528315165587E-2</v>
      </c>
      <c r="I9" s="5">
        <v>-2.4299749572003313E-3</v>
      </c>
      <c r="J9" s="5">
        <v>-0.70384224153047226</v>
      </c>
      <c r="K9" s="5">
        <v>-0.79472899348299586</v>
      </c>
    </row>
    <row r="10" spans="1:11" x14ac:dyDescent="0.3">
      <c r="A10" s="2" t="s">
        <v>218</v>
      </c>
      <c r="B10" s="18">
        <f>SUMPRODUCT('14 FF3 Cov'!B8:K8,$B$9:$K$9)</f>
        <v>9.1854642009947518E-4</v>
      </c>
      <c r="C10" s="18">
        <f>SUMPRODUCT('14 FF3 Cov'!B9:K9,$B$9:$K$9)</f>
        <v>8.9753749802518881E-4</v>
      </c>
      <c r="D10" s="18">
        <f>SUMPRODUCT('14 FF3 Cov'!B10:K10,$B$9:$K$9)</f>
        <v>2.5048812859667052E-3</v>
      </c>
      <c r="E10" s="18">
        <f>SUMPRODUCT('14 FF3 Cov'!B11:K11,$B$9:$K$9)</f>
        <v>8.4269896498199981E-4</v>
      </c>
      <c r="F10" s="18">
        <f>SUMPRODUCT('14 FF3 Cov'!B12:K12,$B$9:$K$9)</f>
        <v>6.524638416699728E-4</v>
      </c>
      <c r="G10" s="18">
        <f>SUMPRODUCT('14 FF3 Cov'!B13:K13,$B$9:$K$9)</f>
        <v>-8.1117180582250916E-4</v>
      </c>
      <c r="H10" s="18">
        <f>SUMPRODUCT('14 FF3 Cov'!B14:K14,$B$9:$K$9)</f>
        <v>8.630850150295775E-4</v>
      </c>
      <c r="I10" s="18">
        <f>SUMPRODUCT('14 FF3 Cov'!B15:K15,$B$9:$K$9)</f>
        <v>4.4587963223221519E-4</v>
      </c>
      <c r="J10" s="18">
        <f>SUMPRODUCT('14 FF3 Cov'!B16:K16,$B$9:$K$9)</f>
        <v>-1.6724111127300483E-3</v>
      </c>
      <c r="K10" s="18">
        <f>SUMPRODUCT('14 FF3 Cov'!B17:K17,$B$9:$K$9)</f>
        <v>-2.0105445591534999E-3</v>
      </c>
    </row>
    <row r="11" spans="1:11" x14ac:dyDescent="0.3">
      <c r="A11" s="2" t="s">
        <v>219</v>
      </c>
      <c r="B11" s="18">
        <f t="shared" ref="B11:K11" si="0">B9*B10</f>
        <v>1.3506801228989801E-5</v>
      </c>
      <c r="C11" s="18">
        <f t="shared" si="0"/>
        <v>1.4591365832699801E-4</v>
      </c>
      <c r="D11" s="18">
        <f t="shared" si="0"/>
        <v>6.6433103123015799E-4</v>
      </c>
      <c r="E11" s="18">
        <f t="shared" si="0"/>
        <v>1.7122692424136889E-4</v>
      </c>
      <c r="F11" s="18">
        <f t="shared" si="0"/>
        <v>8.3199612565891834E-6</v>
      </c>
      <c r="G11" s="18">
        <f t="shared" si="0"/>
        <v>1.8560638206612464E-4</v>
      </c>
      <c r="H11" s="18">
        <f t="shared" si="0"/>
        <v>6.0637356796820627E-5</v>
      </c>
      <c r="I11" s="18">
        <f t="shared" si="0"/>
        <v>-1.0834763402499766E-6</v>
      </c>
      <c r="J11" s="18">
        <f t="shared" si="0"/>
        <v>1.1771135863443884E-3</v>
      </c>
      <c r="K11" s="18">
        <f t="shared" si="0"/>
        <v>1.5978380538487747E-3</v>
      </c>
    </row>
    <row r="15" spans="1:11" x14ac:dyDescent="0.3">
      <c r="A15" s="2" t="s">
        <v>220</v>
      </c>
      <c r="B15" s="11">
        <f>SUM(B9:K9)</f>
        <v>-1.001126804844527</v>
      </c>
    </row>
    <row r="16" spans="1:11" x14ac:dyDescent="0.3">
      <c r="A16" s="2" t="s">
        <v>221</v>
      </c>
      <c r="B16" s="8">
        <f>SUMPRODUCT(B9:K9,B8:K8)</f>
        <v>-3.5587931200287337E-3</v>
      </c>
    </row>
    <row r="17" spans="1:11" x14ac:dyDescent="0.3">
      <c r="A17" s="2" t="s">
        <v>222</v>
      </c>
      <c r="B17" s="20">
        <f>SUMPRODUCT(B9:K9,B10:K10)</f>
        <v>4.0234102789999619E-3</v>
      </c>
    </row>
    <row r="18" spans="1:11" x14ac:dyDescent="0.3">
      <c r="A18" s="2" t="s">
        <v>223</v>
      </c>
      <c r="B18" s="8">
        <f>SQRT(B17)</f>
        <v>6.3430357708276888E-2</v>
      </c>
    </row>
    <row r="19" spans="1:11" x14ac:dyDescent="0.3">
      <c r="A19" s="2" t="s">
        <v>224</v>
      </c>
      <c r="B19" s="11">
        <f>B16/B18</f>
        <v>-5.6105518691791242E-2</v>
      </c>
    </row>
    <row r="20" spans="1:11" x14ac:dyDescent="0.3">
      <c r="A20" s="2" t="s">
        <v>225</v>
      </c>
      <c r="B20" s="8">
        <f>12*B16</f>
        <v>-4.2705517440344801E-2</v>
      </c>
    </row>
    <row r="21" spans="1:11" x14ac:dyDescent="0.3">
      <c r="A21" s="2" t="s">
        <v>226</v>
      </c>
      <c r="B21" s="8">
        <f>SQRT(12)*B18</f>
        <v>0.21972920458600748</v>
      </c>
    </row>
    <row r="22" spans="1:11" x14ac:dyDescent="0.3">
      <c r="A22" s="2" t="s">
        <v>227</v>
      </c>
      <c r="B22" s="8">
        <f>1-B15</f>
        <v>2.0011268048445272</v>
      </c>
    </row>
    <row r="24" spans="1:11" ht="34.049999999999997" customHeight="1" x14ac:dyDescent="0.3">
      <c r="A24" s="4" t="s">
        <v>237</v>
      </c>
      <c r="B24" s="4" t="s">
        <v>238</v>
      </c>
      <c r="C24" s="4" t="s">
        <v>239</v>
      </c>
    </row>
    <row r="25" spans="1:11" x14ac:dyDescent="0.3">
      <c r="A25" s="2" t="s">
        <v>165</v>
      </c>
      <c r="B25" s="11">
        <f>SUMPRODUCT(B9:K9,B30:K30)</f>
        <v>3.7108094375071232E-12</v>
      </c>
      <c r="C25" s="6">
        <v>0</v>
      </c>
    </row>
    <row r="26" spans="1:11" x14ac:dyDescent="0.3">
      <c r="A26" s="2" t="s">
        <v>74</v>
      </c>
      <c r="B26" s="11">
        <f>SUMPRODUCT(B9:K9,B31:K31)</f>
        <v>1.0000000000094111</v>
      </c>
      <c r="C26" s="6">
        <v>1</v>
      </c>
    </row>
    <row r="27" spans="1:11" x14ac:dyDescent="0.3">
      <c r="A27" s="2" t="s">
        <v>75</v>
      </c>
      <c r="B27" s="11">
        <f>SUMPRODUCT(B9:K9,B32:K32)</f>
        <v>-6.0355886954965854E-12</v>
      </c>
      <c r="C27" s="6">
        <v>0</v>
      </c>
    </row>
    <row r="29" spans="1:11" ht="34.049999999999997" customHeight="1" x14ac:dyDescent="0.3">
      <c r="A29" s="4" t="s">
        <v>240</v>
      </c>
      <c r="B29" s="4" t="s">
        <v>131</v>
      </c>
      <c r="C29" s="4" t="s">
        <v>132</v>
      </c>
      <c r="D29" s="4" t="s">
        <v>133</v>
      </c>
      <c r="E29" s="4" t="s">
        <v>134</v>
      </c>
      <c r="F29" s="4" t="s">
        <v>135</v>
      </c>
      <c r="G29" s="4" t="s">
        <v>136</v>
      </c>
      <c r="H29" s="4" t="s">
        <v>137</v>
      </c>
      <c r="I29" s="4" t="s">
        <v>138</v>
      </c>
      <c r="J29" s="4" t="s">
        <v>139</v>
      </c>
      <c r="K29" s="4" t="s">
        <v>140</v>
      </c>
    </row>
    <row r="30" spans="1:11" x14ac:dyDescent="0.3">
      <c r="A30" s="2" t="s">
        <v>165</v>
      </c>
      <c r="B30" s="17">
        <f>'09 FF3'!C8</f>
        <v>2.092031512430458</v>
      </c>
      <c r="C30" s="17">
        <f>'09 FF3'!C9</f>
        <v>1.2669865730919141</v>
      </c>
      <c r="D30" s="17">
        <f>'09 FF3'!C10</f>
        <v>1.3241553848004384</v>
      </c>
      <c r="E30" s="17">
        <f>'09 FF3'!C11</f>
        <v>1.1140459854790041</v>
      </c>
      <c r="F30" s="17">
        <f>'09 FF3'!C12</f>
        <v>1.8544483919612726</v>
      </c>
      <c r="G30" s="17">
        <f>'09 FF3'!C13</f>
        <v>0.59981781313184557</v>
      </c>
      <c r="H30" s="17">
        <f>'09 FF3'!C14</f>
        <v>1.0146258041869398</v>
      </c>
      <c r="I30" s="17">
        <f>'09 FF3'!C15</f>
        <v>0.83669035773409628</v>
      </c>
      <c r="J30" s="17">
        <f>'09 FF3'!C16</f>
        <v>0.60032001917261202</v>
      </c>
      <c r="K30" s="17">
        <f>'09 FF3'!C17</f>
        <v>0.43713806088644003</v>
      </c>
    </row>
    <row r="31" spans="1:11" x14ac:dyDescent="0.3">
      <c r="A31" s="2" t="s">
        <v>74</v>
      </c>
      <c r="B31" s="17">
        <f>'09 FF3'!D8</f>
        <v>-0.19720562060086402</v>
      </c>
      <c r="C31" s="17">
        <f>'09 FF3'!D9</f>
        <v>-4.939074525795234E-2</v>
      </c>
      <c r="D31" s="17">
        <f>'09 FF3'!D10</f>
        <v>0.40754900588236798</v>
      </c>
      <c r="E31" s="17">
        <f>'09 FF3'!D11</f>
        <v>4.4972838555735577E-2</v>
      </c>
      <c r="F31" s="17">
        <f>'09 FF3'!D12</f>
        <v>-0.22175806210069179</v>
      </c>
      <c r="G31" s="17">
        <f>'09 FF3'!D13</f>
        <v>-0.30467488454201697</v>
      </c>
      <c r="H31" s="17">
        <f>'09 FF3'!D14</f>
        <v>2.7656325219092212E-2</v>
      </c>
      <c r="I31" s="17">
        <f>'09 FF3'!D15</f>
        <v>6.1999245130422145E-3</v>
      </c>
      <c r="J31" s="17">
        <f>'09 FF3'!D16</f>
        <v>-0.53147710703662143</v>
      </c>
      <c r="K31" s="17">
        <f>'09 FF3'!D17</f>
        <v>-0.5672546332594024</v>
      </c>
    </row>
    <row r="32" spans="1:11" x14ac:dyDescent="0.3">
      <c r="A32" s="2" t="s">
        <v>75</v>
      </c>
      <c r="B32" s="17">
        <f>'09 FF3'!E8</f>
        <v>-1.0142848846488453</v>
      </c>
      <c r="C32" s="17">
        <f>'09 FF3'!E9</f>
        <v>-0.93858831199831694</v>
      </c>
      <c r="D32" s="17">
        <f>'09 FF3'!E10</f>
        <v>0.5500424231652179</v>
      </c>
      <c r="E32" s="17">
        <f>'09 FF3'!E11</f>
        <v>0.82351625487859215</v>
      </c>
      <c r="F32" s="17">
        <f>'09 FF3'!E12</f>
        <v>-1.0471048163153087</v>
      </c>
      <c r="G32" s="17">
        <f>'09 FF3'!E13</f>
        <v>0.12493653119047284</v>
      </c>
      <c r="H32" s="17">
        <f>'09 FF3'!E14</f>
        <v>-6.3623732545808331E-2</v>
      </c>
      <c r="I32" s="17">
        <f>'09 FF3'!E15</f>
        <v>1.0335589734852346</v>
      </c>
      <c r="J32" s="17">
        <f>'09 FF3'!E16</f>
        <v>-0.15287139695773533</v>
      </c>
      <c r="K32" s="17">
        <f>'09 FF3'!E17</f>
        <v>0.25717329159682384</v>
      </c>
    </row>
    <row r="34" spans="1:11" x14ac:dyDescent="0.3">
      <c r="A34" s="2" t="s">
        <v>241</v>
      </c>
      <c r="B34" s="11">
        <f>B17*10000</f>
        <v>40.234102789999618</v>
      </c>
    </row>
    <row r="37" spans="1:11" ht="25.95" customHeight="1" x14ac:dyDescent="0.3">
      <c r="A37" s="25" t="s">
        <v>82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 spans="1:11" ht="30" customHeight="1" x14ac:dyDescent="0.3">
      <c r="A38" s="21" t="s">
        <v>242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</row>
    <row r="39" spans="1:11" ht="30" customHeight="1" x14ac:dyDescent="0.3">
      <c r="A39" s="21" t="s">
        <v>229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</row>
    <row r="40" spans="1:11" ht="30" customHeight="1" x14ac:dyDescent="0.3">
      <c r="A40" s="21" t="s">
        <v>250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</row>
    <row r="41" spans="1:11" ht="30" customHeight="1" x14ac:dyDescent="0.3">
      <c r="A41" s="21" t="inlineStr">
        <is>
          <t>4. Select GRG Nonlinear. Clear "Make Unconstrained Variables Non-Negative"; apply only the constraints listed above.</t>
        </is>
      </c>
      <c r="B41" s="22"/>
      <c r="C41" s="22"/>
      <c r="D41" s="22"/>
      <c r="E41" s="22"/>
      <c r="F41" s="22"/>
      <c r="G41" s="22"/>
      <c r="H41" s="22"/>
      <c r="I41" s="22"/>
      <c r="J41" s="22"/>
      <c r="K41" s="22"/>
    </row>
    <row r="42" spans="1:11" ht="31.95" customHeight="1" x14ac:dyDescent="0.3">
      <c r="A42" s="21" t="inlineStr">
        <is>
          <t>5. In Options, enable Automatic Scaling; set constraint precision to 0.000000001; set convergence to 0.0000000001. Select Solve, then Keep Solver Solution.</t>
        </is>
      </c>
      <c r="B42" s="22"/>
      <c r="C42" s="22"/>
      <c r="D42" s="22"/>
      <c r="E42" s="22"/>
      <c r="F42" s="22"/>
      <c r="G42" s="22"/>
      <c r="H42" s="22"/>
      <c r="I42" s="22"/>
      <c r="J42" s="22"/>
      <c r="K42" s="22"/>
    </row>
    <row r="43" spans="1:11" ht="31.95" customHeight="1" x14ac:dyDescent="0.3">
      <c r="A43" s="21" t="s">
        <v>107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</row>
    <row r="44" spans="1:11" ht="30" customHeight="1" x14ac:dyDescent="0.3">
      <c r="A44" s="21" t="s">
        <v>244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</row>
    <row r="45" spans="1:11" ht="30" customHeight="1" x14ac:dyDescent="0.3">
      <c r="A45" s="21" t="s">
        <v>245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</row>
    <row r="46" spans="1:11" ht="30" customHeight="1" x14ac:dyDescent="0.3">
      <c r="A46" s="21" t="s">
        <v>246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</row>
    <row r="47" spans="1:11" ht="31.95" customHeight="1" x14ac:dyDescent="0.3">
      <c r="A47" s="21" t="s">
        <v>247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</row>
    <row r="49" spans="1:11" ht="31.95" customHeight="1" x14ac:dyDescent="0.3">
      <c r="A49" s="21" t="s">
        <v>251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</row>
    <row r="50" spans="1:11" ht="31.95" customHeight="1" x14ac:dyDescent="0.3">
      <c r="A50" s="21" t="s">
        <v>252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</row>
  </sheetData>
  <mergeCells count="15">
    <mergeCell ref="A1:K1"/>
    <mergeCell ref="A37:K37"/>
    <mergeCell ref="A50:K50"/>
    <mergeCell ref="A3:K3"/>
    <mergeCell ref="A39:K39"/>
    <mergeCell ref="A43:K43"/>
    <mergeCell ref="A38:K38"/>
    <mergeCell ref="A41:K41"/>
    <mergeCell ref="A45:K45"/>
    <mergeCell ref="A49:K49"/>
    <mergeCell ref="A47:K47"/>
    <mergeCell ref="A42:K42"/>
    <mergeCell ref="A46:K46"/>
    <mergeCell ref="A40:K40"/>
    <mergeCell ref="A44:K44"/>
  </mergeCells>
  <hyperlinks>
    <hyperlink ref="A2" location="'00 Start'!A1" display="Back to guide" xr:uid="{00000000-0004-0000-1100-000000000000}"/>
  </hyperlinks>
  <printOptions horizontalCentered="1"/>
  <pageMargins left="0.25" right="0.25" top="0.35" bottom="0.35" header="0.5" footer="0.5"/>
  <pageSetup paperSize="9" fitToHeight="0" orientation="landscape"/>
  <headerFooter>
    <oddFooter>&amp;CBFIN | &amp;A | Page &amp;P of &amp;N</oddFooter>
  </headerFooter>
  <rowBreaks count="1" manualBreakCount="1">
    <brk id="3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22</vt:i4>
      </vt:variant>
    </vt:vector>
  </HeadingPairs>
  <TitlesOfParts>
    <vt:vector size="40" baseType="lpstr">
      <vt:lpstr>00 Start</vt:lpstr>
      <vt:lpstr>01 Factor Examples</vt:lpstr>
      <vt:lpstr>02 APT Solver</vt:lpstr>
      <vt:lpstr>03 Hedge Solver</vt:lpstr>
      <vt:lpstr>04 Prices</vt:lpstr>
      <vt:lpstr>05 Factors</vt:lpstr>
      <vt:lpstr>06 Returns</vt:lpstr>
      <vt:lpstr>07 Excess</vt:lpstr>
      <vt:lpstr>08 CAPM</vt:lpstr>
      <vt:lpstr>09 FF3</vt:lpstr>
      <vt:lpstr>10 Carhart4</vt:lpstr>
      <vt:lpstr>11 FF5</vt:lpstr>
      <vt:lpstr>12 Model Comparison</vt:lpstr>
      <vt:lpstr>13 Factor Cov</vt:lpstr>
      <vt:lpstr>14 FF3 Cov</vt:lpstr>
      <vt:lpstr>15 FF3 Solver</vt:lpstr>
      <vt:lpstr>16 Exposure Solver</vt:lpstr>
      <vt:lpstr>17 Mimic Solver</vt:lpstr>
      <vt:lpstr>'00 Start'!Print_Area</vt:lpstr>
      <vt:lpstr>'01 Factor Examples'!Print_Area</vt:lpstr>
      <vt:lpstr>'02 APT Solver'!Print_Area</vt:lpstr>
      <vt:lpstr>'03 Hedge Solver'!Print_Area</vt:lpstr>
      <vt:lpstr>'04 Prices'!Print_Area</vt:lpstr>
      <vt:lpstr>'05 Factors'!Print_Area</vt:lpstr>
      <vt:lpstr>'06 Returns'!Print_Area</vt:lpstr>
      <vt:lpstr>'07 Excess'!Print_Area</vt:lpstr>
      <vt:lpstr>'08 CAPM'!Print_Area</vt:lpstr>
      <vt:lpstr>'09 FF3'!Print_Area</vt:lpstr>
      <vt:lpstr>'10 Carhart4'!Print_Area</vt:lpstr>
      <vt:lpstr>'11 FF5'!Print_Area</vt:lpstr>
      <vt:lpstr>'12 Model Comparison'!Print_Area</vt:lpstr>
      <vt:lpstr>'13 Factor Cov'!Print_Area</vt:lpstr>
      <vt:lpstr>'14 FF3 Cov'!Print_Area</vt:lpstr>
      <vt:lpstr>'15 FF3 Solver'!Print_Area</vt:lpstr>
      <vt:lpstr>'16 Exposure Solver'!Print_Area</vt:lpstr>
      <vt:lpstr>'17 Mimic Solver'!Print_Area</vt:lpstr>
      <vt:lpstr>'04 Prices'!Print_Titles</vt:lpstr>
      <vt:lpstr>'05 Factors'!Print_Titles</vt:lpstr>
      <vt:lpstr>'06 Returns'!Print_Titles</vt:lpstr>
      <vt:lpstr>'07 Excess'!Print_Titles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BFIN Lecture 07: worked Excel exercises</dc:title>
  <dc:subject>Student guide to portfolio calculations and Excel Solver</dc:subject>
  <dc:creator>BFIN</dc:creator>
  <dc:description>Embedded data, visible formulas, solved examples and cell-specific Solver instructions.</dc:description>
  <cp:lastModifiedBy>Omer C</cp:lastModifiedBy>
  <cp:lastPrinted>2026-10-03T07:25:51Z</cp:lastPrinted>
  <dcterms:created xsi:type="dcterms:W3CDTF">2026-10-03T07:24:34Z</dcterms:created>
  <dcterms:modified xsi:type="dcterms:W3CDTF">2026-10-03T07:28:24Z</dcterms:modified>
</cp:coreProperties>
</file>